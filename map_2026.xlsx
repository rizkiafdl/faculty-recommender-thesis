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budi_juarto_binus_ac_id/Documents/"/>
    </mc:Choice>
  </mc:AlternateContent>
  <xr:revisionPtr revIDLastSave="324" documentId="8_{333EDA08-2B1E-4D60-ADDE-64BBAB6F4E33}" xr6:coauthVersionLast="47" xr6:coauthVersionMax="47" xr10:uidLastSave="{6D4B0F6D-46E4-4685-B343-74551E9468D1}"/>
  <bookViews>
    <workbookView xWindow="-110" yWindow="-110" windowWidth="19420" windowHeight="10300" activeTab="1" xr2:uid="{8B64BC35-A823-4DD5-8124-6D3740EC01B6}"/>
  </bookViews>
  <sheets>
    <sheet name="Sheet3" sheetId="10" r:id="rId1"/>
    <sheet name="Sheet1" sheetId="1" r:id="rId2"/>
    <sheet name="Sheet2" sheetId="11" r:id="rId3"/>
    <sheet name="Sheet4" sheetId="12" r:id="rId4"/>
    <sheet name="Sheet5" sheetId="13" r:id="rId5"/>
  </sheets>
  <definedNames>
    <definedName name="_xlnm._FilterDatabase" localSheetId="1" hidden="1">Sheet1!$A$1:$Q$172</definedName>
  </definedName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 a="1"/>
  <c r="R3" i="1" s="1"/>
  <c r="B2" i="13"/>
  <c r="B3" i="13"/>
  <c r="B4" i="13"/>
  <c r="B5" i="13"/>
  <c r="B6" i="13"/>
  <c r="B7" i="13"/>
  <c r="B8" i="13"/>
  <c r="B9" i="13"/>
  <c r="B10" i="13"/>
  <c r="B11" i="13"/>
  <c r="B12" i="13"/>
  <c r="B13" i="13"/>
  <c r="B14" i="13"/>
  <c r="B1" i="13"/>
  <c r="B1" i="11"/>
  <c r="C3" i="12"/>
  <c r="C4" i="12"/>
  <c r="C5" i="12"/>
  <c r="C6" i="12"/>
  <c r="C7" i="12"/>
  <c r="C8" i="12"/>
  <c r="C9" i="12"/>
  <c r="C10" i="12"/>
  <c r="C2" i="12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<sst xmlns="http://schemas.openxmlformats.org/spreadsheetml/2006/main" count="8075" uniqueCount="994">
  <si>
    <t>Budi Juarto</t>
  </si>
  <si>
    <t>Cutifa Safitri, B.CS., M. IT., Ph.D.</t>
  </si>
  <si>
    <t>Dr. Abdul Haris Rangkuti, S.Kom., M.M., M.Si.</t>
  </si>
  <si>
    <t>Dr. Boby Siswanto, S.T., M.T.</t>
  </si>
  <si>
    <t>Dr. Dani Suandi, S.Si., M.Si.</t>
  </si>
  <si>
    <t>Dr. Dany Eka Saputra, S.T., M.T.</t>
  </si>
  <si>
    <t>Dr. Husni Iskandar Pohan, S.Kom, M.T.</t>
  </si>
  <si>
    <t>Dr. Johan Muliadi Kerta, S.Kom., M.M.</t>
  </si>
  <si>
    <t>Dr. Mochammad Haldi Widianto, S.T., M.T.</t>
  </si>
  <si>
    <t>Karen Etania Saputra, S.Kom., M.Kom.</t>
  </si>
  <si>
    <t>Livia Janice Widiapradja, S.Si., Ph.D.</t>
  </si>
  <si>
    <t>Muhammad Maulana Ramadhan, S.Kom., M.Kom.</t>
  </si>
  <si>
    <t>Riccosan, S.Kom., M.Kom.</t>
  </si>
  <si>
    <t>Rissa Rahmania, S.T., M.T.</t>
  </si>
  <si>
    <t>(blank)</t>
  </si>
  <si>
    <t>Grand Total</t>
  </si>
  <si>
    <t>BINUSIAN ID</t>
  </si>
  <si>
    <t>STUDENT ID</t>
  </si>
  <si>
    <t>STUDENT NAME</t>
  </si>
  <si>
    <t>STUDENT EMAIL</t>
  </si>
  <si>
    <t>STUDENT PHONE</t>
  </si>
  <si>
    <t>TRACK</t>
  </si>
  <si>
    <t>kode dosen</t>
  </si>
  <si>
    <t>FS</t>
  </si>
  <si>
    <t>GPA</t>
  </si>
  <si>
    <t>TOTAL SKS</t>
  </si>
  <si>
    <t>PARTNER/LECTURER</t>
  </si>
  <si>
    <t>POSITION/TOPIC</t>
  </si>
  <si>
    <t>DURATION</t>
  </si>
  <si>
    <t>JOB START DATE</t>
  </si>
  <si>
    <t>JOB END DATE</t>
  </si>
  <si>
    <t>WORK SCHEMA</t>
  </si>
  <si>
    <t>ENROLLMENT STATUS</t>
  </si>
  <si>
    <t>BN124939293</t>
  </si>
  <si>
    <t>FILIP NATHAN</t>
  </si>
  <si>
    <t>filip.nathan@binus.ac.id</t>
  </si>
  <si>
    <t>0818187588</t>
  </si>
  <si>
    <t>Company Internship</t>
  </si>
  <si>
    <t>D6836</t>
  </si>
  <si>
    <t>3.98</t>
  </si>
  <si>
    <t>82</t>
  </si>
  <si>
    <t>PT. Bank Central Asia, Tbk</t>
  </si>
  <si>
    <t>Data Engineer / Developer</t>
  </si>
  <si>
    <t>12 Month(s)</t>
  </si>
  <si>
    <t>02/02/2026</t>
  </si>
  <si>
    <t>31/01/2027</t>
  </si>
  <si>
    <t>Onsite</t>
  </si>
  <si>
    <t>Enrolled</t>
  </si>
  <si>
    <t>BN124934014</t>
  </si>
  <si>
    <t>WILLIAM THEODORUS WIJAYA</t>
  </si>
  <si>
    <t>william.wijaya028@binus.ac.id</t>
  </si>
  <si>
    <t>081395551682</t>
  </si>
  <si>
    <t>D2211</t>
  </si>
  <si>
    <t>3.97</t>
  </si>
  <si>
    <t>80</t>
  </si>
  <si>
    <t>The Software Practice Pte. Ltd.</t>
  </si>
  <si>
    <t>Software Engineer</t>
  </si>
  <si>
    <t>BN124934033</t>
  </si>
  <si>
    <t>TERENCE CAHYADI PRANOTO</t>
  </si>
  <si>
    <t>terence.pranoto@binus.ac.id</t>
  </si>
  <si>
    <t>08112346468</t>
  </si>
  <si>
    <t>Research Fellowship</t>
  </si>
  <si>
    <t>D6184</t>
  </si>
  <si>
    <t>3.96</t>
  </si>
  <si>
    <t>Mochammad Haldi Widianto, S.T., M.T.</t>
  </si>
  <si>
    <t>implementasi IoT di lingkungan sekolah</t>
  </si>
  <si>
    <t>WFO</t>
  </si>
  <si>
    <t>BN124999140</t>
  </si>
  <si>
    <t>KENNETH SUNJAYA</t>
  </si>
  <si>
    <t>kenneth.sunjaya002@binus.ac.id</t>
  </si>
  <si>
    <t>+62895362464800</t>
  </si>
  <si>
    <t>Application Developer</t>
  </si>
  <si>
    <t>Not Yet Enrolled</t>
  </si>
  <si>
    <t>BN125043626</t>
  </si>
  <si>
    <t>TOHRU DJUNAEDI SATO</t>
  </si>
  <si>
    <t>tohru.sato@binus.ac.id</t>
  </si>
  <si>
    <t>+6281280819255</t>
  </si>
  <si>
    <t>D6408</t>
  </si>
  <si>
    <t>PT. Panji Edukasi Nusantara (Apple Developer Academy @BINUS)</t>
  </si>
  <si>
    <t>Apple Academy Program (Dedicated for APPLE Inc.,)</t>
  </si>
  <si>
    <t>10 Month(s)</t>
  </si>
  <si>
    <t>02/03/2026</t>
  </si>
  <si>
    <t>31/12/2026</t>
  </si>
  <si>
    <t>Hybrid</t>
  </si>
  <si>
    <t>BN125103745</t>
  </si>
  <si>
    <t>JEREMY AXEL SURYAMIHARJA</t>
  </si>
  <si>
    <t>jeremy.suryamiharja@binus.ac.id</t>
  </si>
  <si>
    <t>+6285161112704</t>
  </si>
  <si>
    <t>3.95</t>
  </si>
  <si>
    <t>PT. Kamoro Maxima Integra</t>
  </si>
  <si>
    <t>BN124934046</t>
  </si>
  <si>
    <t>YOEL KHARIS WIJAYA WONG</t>
  </si>
  <si>
    <t>yoel.wong@binus.ac.id</t>
  </si>
  <si>
    <t>+6281348587481</t>
  </si>
  <si>
    <t>3.94</t>
  </si>
  <si>
    <t>PT Modular Mining Indonesia</t>
  </si>
  <si>
    <t>BN124997886</t>
  </si>
  <si>
    <t>FREDERICK KRISNA SURYOPRANOTO</t>
  </si>
  <si>
    <t>frederick.suryopranoto@binus.ac.id</t>
  </si>
  <si>
    <t>+6289529532449</t>
  </si>
  <si>
    <t>3.93</t>
  </si>
  <si>
    <t>BN124961154</t>
  </si>
  <si>
    <t>THEODORE MARVIN HENDRAWAN</t>
  </si>
  <si>
    <t>theodore.hendrawan@binus.ac.id</t>
  </si>
  <si>
    <t>+6281556638858</t>
  </si>
  <si>
    <t>D6532</t>
  </si>
  <si>
    <t>3.91</t>
  </si>
  <si>
    <t>Bina Nusantara University - School of Computer Science (Bandung)</t>
  </si>
  <si>
    <t>IT Developer</t>
  </si>
  <si>
    <t>6 Month(s)</t>
  </si>
  <si>
    <t>31/07/2026</t>
  </si>
  <si>
    <t>BN125211144</t>
  </si>
  <si>
    <t>STEPANUS IMANUEL</t>
  </si>
  <si>
    <t>stepanus.imanuel@binus.ac.id</t>
  </si>
  <si>
    <t>+6282181182005</t>
  </si>
  <si>
    <t>BN124978054</t>
  </si>
  <si>
    <t>EZRELA FIDELYNN SURYA WIBISANA</t>
  </si>
  <si>
    <t>ezrela.wibisana@binus.ac.id</t>
  </si>
  <si>
    <t>082129333996</t>
  </si>
  <si>
    <t>3.89</t>
  </si>
  <si>
    <t>Joy Leap Studio</t>
  </si>
  <si>
    <t>Web Developer</t>
  </si>
  <si>
    <t>Virtual</t>
  </si>
  <si>
    <t>BN124934361</t>
  </si>
  <si>
    <t>GABRIELLE JECONIAH CHRISTIANDO</t>
  </si>
  <si>
    <t>gabrielle.christiando@binus.ac.id</t>
  </si>
  <si>
    <t>+6289655786993</t>
  </si>
  <si>
    <t>PT. Akur Pratama</t>
  </si>
  <si>
    <t>BN124981036</t>
  </si>
  <si>
    <t>JAYSON KELVIN</t>
  </si>
  <si>
    <t>jayson.kelvin@binus.ac.id</t>
  </si>
  <si>
    <t>088222292415</t>
  </si>
  <si>
    <t>D6826</t>
  </si>
  <si>
    <t>Starlab Indonesia</t>
  </si>
  <si>
    <t>Coding Instructor</t>
  </si>
  <si>
    <t>BN124934405</t>
  </si>
  <si>
    <t>MICHAEL SUTHIRTA</t>
  </si>
  <si>
    <t>michael.suthirta@binus.ac.id</t>
  </si>
  <si>
    <t>08818395983</t>
  </si>
  <si>
    <t>3.87</t>
  </si>
  <si>
    <t>PT. Mayora Indah, Tbk (Mayora Group)</t>
  </si>
  <si>
    <t>BN124938580</t>
  </si>
  <si>
    <t>REYNARD SETIAWAN</t>
  </si>
  <si>
    <t>reynard.setiawan001@binus.ac.id</t>
  </si>
  <si>
    <t>+62895351969010</t>
  </si>
  <si>
    <t>3.86</t>
  </si>
  <si>
    <t>BN124934355</t>
  </si>
  <si>
    <t>NOVELLINA EDYAWATI</t>
  </si>
  <si>
    <t>novellina.edyawati@binus.ac.id</t>
  </si>
  <si>
    <t>+6287821738999</t>
  </si>
  <si>
    <t>D6274</t>
  </si>
  <si>
    <t>3.85</t>
  </si>
  <si>
    <t>PT. Kalbe Farma, Tbk</t>
  </si>
  <si>
    <t>02/02/2027</t>
  </si>
  <si>
    <t>BN124985753</t>
  </si>
  <si>
    <t>SHERLY OKTAVIA WILLISA</t>
  </si>
  <si>
    <t>sherly.willisa@binus.ac.id</t>
  </si>
  <si>
    <t>+62895604091019</t>
  </si>
  <si>
    <t>D6469</t>
  </si>
  <si>
    <t>3.84</t>
  </si>
  <si>
    <t>PT. LION SUPER INDO</t>
  </si>
  <si>
    <t>Programmer</t>
  </si>
  <si>
    <t>BN001025531</t>
  </si>
  <si>
    <t>DAMIEN HERLNATA</t>
  </si>
  <si>
    <t>damien.herlnata@binus.ac.id</t>
  </si>
  <si>
    <t>+6282273702165</t>
  </si>
  <si>
    <t>PT. Realta Chakradarma</t>
  </si>
  <si>
    <t>23/02/2026</t>
  </si>
  <si>
    <t>22/02/2027</t>
  </si>
  <si>
    <t>BN124958481</t>
  </si>
  <si>
    <t>DAVIN MIGUEL SANJAYA</t>
  </si>
  <si>
    <t>davin.sanjaya@binus.ac.id</t>
  </si>
  <si>
    <t>085603598550</t>
  </si>
  <si>
    <t>D1749</t>
  </si>
  <si>
    <t>3.83</t>
  </si>
  <si>
    <t>PT. Nutrifood Indonesia</t>
  </si>
  <si>
    <t>Database Specialist</t>
  </si>
  <si>
    <t>BN125132410</t>
  </si>
  <si>
    <t>ALBERTUS JANUARIO</t>
  </si>
  <si>
    <t>albertus.januario@binus.ac.id</t>
  </si>
  <si>
    <t>+6285624316660</t>
  </si>
  <si>
    <t>BN125204391</t>
  </si>
  <si>
    <t>THEONA ARLINTON</t>
  </si>
  <si>
    <t>theona.arlinton@binus.ac.id</t>
  </si>
  <si>
    <t>+6289510928284</t>
  </si>
  <si>
    <t>3.81</t>
  </si>
  <si>
    <t>01/03/2026</t>
  </si>
  <si>
    <t>BN125061093</t>
  </si>
  <si>
    <t>EDWARD NATHANAEL YUSTIAN</t>
  </si>
  <si>
    <t>edward.yustian@binus.ac.id</t>
  </si>
  <si>
    <t>+6283827941576</t>
  </si>
  <si>
    <t>3.80</t>
  </si>
  <si>
    <t>PT. Adira Dinamika Multi Finance Tbk</t>
  </si>
  <si>
    <t>Data Analyst</t>
  </si>
  <si>
    <t>BN125045133</t>
  </si>
  <si>
    <t>MUHAMMAD RAFI ISNAEN</t>
  </si>
  <si>
    <t>muhammad.isnaen@binus.ac.id</t>
  </si>
  <si>
    <t>+6281991711208</t>
  </si>
  <si>
    <t>3.79</t>
  </si>
  <si>
    <t>PT. Inovasi Daya Solusi</t>
  </si>
  <si>
    <t>Back End Developer</t>
  </si>
  <si>
    <t>BN124941253</t>
  </si>
  <si>
    <t>EDUARDO RICHIE IMANUELL</t>
  </si>
  <si>
    <t>eduardo.imanuell@binus.ac.id</t>
  </si>
  <si>
    <t>+6281214929601</t>
  </si>
  <si>
    <t>3.78</t>
  </si>
  <si>
    <t>BN124947452</t>
  </si>
  <si>
    <t>EMANUELLE FRIZZIA DARREN SUHERMAN</t>
  </si>
  <si>
    <t>emanuelle.suherman@binus.ac.id</t>
  </si>
  <si>
    <t>+6282127728082</t>
  </si>
  <si>
    <t>BN124934960</t>
  </si>
  <si>
    <t>NELSON FERDINAND WANGSAPUTRA</t>
  </si>
  <si>
    <t>nelson.wangsaputra@binus.ac.id</t>
  </si>
  <si>
    <t>+6282117573435</t>
  </si>
  <si>
    <t>D6670</t>
  </si>
  <si>
    <t>3.76</t>
  </si>
  <si>
    <t>BN124947515</t>
  </si>
  <si>
    <t>MIKHAEL HENOKH SANTOSO</t>
  </si>
  <si>
    <t>mikhael.santoso@binus.ac.id</t>
  </si>
  <si>
    <t>+6281286926501</t>
  </si>
  <si>
    <t>3.75</t>
  </si>
  <si>
    <t>PT Adicipta Inovasi Teknologi (AdIns)</t>
  </si>
  <si>
    <t>Full Stack Developer</t>
  </si>
  <si>
    <t>BN125204611</t>
  </si>
  <si>
    <t>JAMES TANUWIJAYA</t>
  </si>
  <si>
    <t>james.tanuwijaya@binus.ac.id</t>
  </si>
  <si>
    <t>+6282123487274</t>
  </si>
  <si>
    <t>PT Astra Otoparts, Tbk</t>
  </si>
  <si>
    <t>Security and Networking</t>
  </si>
  <si>
    <t>BN124944431</t>
  </si>
  <si>
    <t>KENZIE TIMOTHY EBENEZER</t>
  </si>
  <si>
    <t>kenzie.ebenezer@binus.ac.id</t>
  </si>
  <si>
    <t>+6281324573823</t>
  </si>
  <si>
    <t>PT Mitra Solusi Telematika</t>
  </si>
  <si>
    <t>BN125223176</t>
  </si>
  <si>
    <t>NABILA DANISHA PUTRI</t>
  </si>
  <si>
    <t>nabila.putri019@binus.ac.id</t>
  </si>
  <si>
    <t>082130255334</t>
  </si>
  <si>
    <t>PT. Astra Daihatsu Motor</t>
  </si>
  <si>
    <t>Machine Learning Dev.</t>
  </si>
  <si>
    <t>28/02/2027</t>
  </si>
  <si>
    <t>BN124935206</t>
  </si>
  <si>
    <t>NADHIFA AQMARINA PUTRI</t>
  </si>
  <si>
    <t>nadhifa.putri@binus.ac.id</t>
  </si>
  <si>
    <t>+6285722240594</t>
  </si>
  <si>
    <t>3.74</t>
  </si>
  <si>
    <t>Makers Institute</t>
  </si>
  <si>
    <t>BN124934834</t>
  </si>
  <si>
    <t>GIOVANO JULIAN SOMANTRY</t>
  </si>
  <si>
    <t>giovano.somantry@binus.ac.id</t>
  </si>
  <si>
    <t>081323707777</t>
  </si>
  <si>
    <t>3.71</t>
  </si>
  <si>
    <t>PT. Mega Komposit Indonesia</t>
  </si>
  <si>
    <t>BN125099621</t>
  </si>
  <si>
    <t>DUSTIN MANUEL</t>
  </si>
  <si>
    <t>dustin.manuel@binus.ac.id</t>
  </si>
  <si>
    <t>+6282385314193</t>
  </si>
  <si>
    <t>Specific Independent Study</t>
  </si>
  <si>
    <t>D7055</t>
  </si>
  <si>
    <t>3.70</t>
  </si>
  <si>
    <t>-</t>
  </si>
  <si>
    <t>BN124966640</t>
  </si>
  <si>
    <t>RENJI EARL KURNIAWAN</t>
  </si>
  <si>
    <t>renji.kurniawan@binus.ac.id</t>
  </si>
  <si>
    <t>+6281223501775</t>
  </si>
  <si>
    <t>3.69</t>
  </si>
  <si>
    <t>BN124966615</t>
  </si>
  <si>
    <t>ALVIN JONATHAN</t>
  </si>
  <si>
    <t>alvin.jonathan002@binus.ac.id</t>
  </si>
  <si>
    <t>082126185438</t>
  </si>
  <si>
    <t>D6407</t>
  </si>
  <si>
    <t>PT. Eigerindo Multi Produk Industri</t>
  </si>
  <si>
    <t>Technical Writer</t>
  </si>
  <si>
    <t>BN124578056</t>
  </si>
  <si>
    <t>IGNATIUS VARREL SANTOSO</t>
  </si>
  <si>
    <t>ignatius.santoso@binus.ac.id</t>
  </si>
  <si>
    <t>+6285320036737</t>
  </si>
  <si>
    <t>3.68</t>
  </si>
  <si>
    <t>100</t>
  </si>
  <si>
    <t>PT Binar Consulting Indonesia</t>
  </si>
  <si>
    <t>30/07/2026</t>
  </si>
  <si>
    <t>BN125018712</t>
  </si>
  <si>
    <t>RADJA DANENDRA AL ISLAMI GUSINDATAMA</t>
  </si>
  <si>
    <t>radja.gusindatama@binus.ac.id</t>
  </si>
  <si>
    <t>+6281221622862</t>
  </si>
  <si>
    <t>3.67</t>
  </si>
  <si>
    <t>Samsung Research Indonesia</t>
  </si>
  <si>
    <t>BN125107485</t>
  </si>
  <si>
    <t>BRYAN THANAYA</t>
  </si>
  <si>
    <t>bryan.thanaya@binus.ac.id</t>
  </si>
  <si>
    <t>+6281397833239</t>
  </si>
  <si>
    <t>3.66</t>
  </si>
  <si>
    <t>PT. Cyberindo Aditama (CBN)</t>
  </si>
  <si>
    <t>BN125086240</t>
  </si>
  <si>
    <t>CALVIN ANDREAS</t>
  </si>
  <si>
    <t>calvin.andreas@binus.ac.id</t>
  </si>
  <si>
    <t>081346576736</t>
  </si>
  <si>
    <t>D5918</t>
  </si>
  <si>
    <t>3.65</t>
  </si>
  <si>
    <t>BN125002531</t>
  </si>
  <si>
    <t>ELISSA PATRICIA</t>
  </si>
  <si>
    <t>elissa.patricia@binus.ac.id</t>
  </si>
  <si>
    <t>+6287827717025</t>
  </si>
  <si>
    <t>PT. Astra Graphia Information Technology (AGIT)</t>
  </si>
  <si>
    <t>Development and Operations (DevOps) Engineer</t>
  </si>
  <si>
    <t>BN124981010</t>
  </si>
  <si>
    <t>JASON MATTHEW</t>
  </si>
  <si>
    <t>jason.matthew003@binus.ac.id</t>
  </si>
  <si>
    <t>0895396330120</t>
  </si>
  <si>
    <t>3.64</t>
  </si>
  <si>
    <t>PT. Accelist Lentera Indonesia</t>
  </si>
  <si>
    <t>BN125023076</t>
  </si>
  <si>
    <t>IMMANUEL SINAGA</t>
  </si>
  <si>
    <t>immanuel.sinaga@binus.ac.id</t>
  </si>
  <si>
    <t>+6281370008765</t>
  </si>
  <si>
    <t>System Engineer</t>
  </si>
  <si>
    <t>BN124940206</t>
  </si>
  <si>
    <t>JOSHUA JONATHAN FARIMAN</t>
  </si>
  <si>
    <t>joshua.fariman@binus.ac.id</t>
  </si>
  <si>
    <t>+6289626200218</t>
  </si>
  <si>
    <t>Business Analyst</t>
  </si>
  <si>
    <t>BN124985330</t>
  </si>
  <si>
    <t>SHANE RYU CAHYA</t>
  </si>
  <si>
    <t>shane.cahya@binus.ac.id</t>
  </si>
  <si>
    <t>+6282181949596</t>
  </si>
  <si>
    <t>PT. TRIMITRA TRANS PERSADA (B-LOG) Tbk</t>
  </si>
  <si>
    <t>IT Support</t>
  </si>
  <si>
    <t>BN125223144</t>
  </si>
  <si>
    <t>TALITHA ZASIZKI GUNARA</t>
  </si>
  <si>
    <t>talitha.gunara@binus.ac.id</t>
  </si>
  <si>
    <t>+6285173132583</t>
  </si>
  <si>
    <t>3.60</t>
  </si>
  <si>
    <t>99 Group (99.co | Rumah123.com)</t>
  </si>
  <si>
    <t>Mobile Programmer</t>
  </si>
  <si>
    <t>BN124964295</t>
  </si>
  <si>
    <t>MICHAEL WIJAYA</t>
  </si>
  <si>
    <t>michael.wijaya023@binus.ac.id</t>
  </si>
  <si>
    <t>+62895337166188</t>
  </si>
  <si>
    <t>3.59</t>
  </si>
  <si>
    <t>BN124939652</t>
  </si>
  <si>
    <t>JACKNIUS</t>
  </si>
  <si>
    <t>jacknius@binus.ac.id</t>
  </si>
  <si>
    <t>+6282390465896</t>
  </si>
  <si>
    <t>3.55</t>
  </si>
  <si>
    <t>BN123835070</t>
  </si>
  <si>
    <t>ANTONIUS WILLIAM WIJAYA</t>
  </si>
  <si>
    <t>antonius.wijaya004@binus.ac.id</t>
  </si>
  <si>
    <t>081385422266</t>
  </si>
  <si>
    <t>PT. Nusantara Compnet Integrator</t>
  </si>
  <si>
    <t>BN125088100</t>
  </si>
  <si>
    <t>NATASHA DIAN MAHARDITA</t>
  </si>
  <si>
    <t>natasha.mahardita@binus.ac.id</t>
  </si>
  <si>
    <t>+6287833809564</t>
  </si>
  <si>
    <t>3.54</t>
  </si>
  <si>
    <t>PT. Enseval Putera Megatrading Tbk</t>
  </si>
  <si>
    <t>ERP Specialist</t>
  </si>
  <si>
    <t>BN124981080</t>
  </si>
  <si>
    <t>VINCENTIUS AARON</t>
  </si>
  <si>
    <t>vincentius.aaron@binus.ac.id</t>
  </si>
  <si>
    <t>+6282214909535</t>
  </si>
  <si>
    <t>3.53</t>
  </si>
  <si>
    <t>BN124977285</t>
  </si>
  <si>
    <t>ERIKA ROSELYN HUSEN</t>
  </si>
  <si>
    <t>erika.husen@binus.ac.id</t>
  </si>
  <si>
    <t>+6281318802860</t>
  </si>
  <si>
    <t>3.50</t>
  </si>
  <si>
    <t>PT. Bank Sinarmas, Tbk</t>
  </si>
  <si>
    <t>Product Manager</t>
  </si>
  <si>
    <t>24/02/2026</t>
  </si>
  <si>
    <t>24/02/2027</t>
  </si>
  <si>
    <t>BN124977266</t>
  </si>
  <si>
    <t>STEVEN JEREMIAH</t>
  </si>
  <si>
    <t>steven.jeremiah@binus.ac.id</t>
  </si>
  <si>
    <t>081316151978</t>
  </si>
  <si>
    <t>BN124991900</t>
  </si>
  <si>
    <t>DENZEL MALIK IBRAHIM</t>
  </si>
  <si>
    <t>denzel.ibrahim@binus.ac.id</t>
  </si>
  <si>
    <t>+6281312006216</t>
  </si>
  <si>
    <t>3.49</t>
  </si>
  <si>
    <t>BN125237194</t>
  </si>
  <si>
    <t>LUQMAN NURHOIRIZA</t>
  </si>
  <si>
    <t>luqman.nurhoiriza@binus.ac.id</t>
  </si>
  <si>
    <t>+6285930251151</t>
  </si>
  <si>
    <t>3.48</t>
  </si>
  <si>
    <t>UI/UX Designer</t>
  </si>
  <si>
    <t>BN124977171</t>
  </si>
  <si>
    <t>JOANNES JASON SUTISNA</t>
  </si>
  <si>
    <t>joannes.sutisna@binus.ac.id</t>
  </si>
  <si>
    <t>+6285222749765</t>
  </si>
  <si>
    <t>3.45</t>
  </si>
  <si>
    <t>BN125138326</t>
  </si>
  <si>
    <t>PAZELLA MUTIA REFLIN</t>
  </si>
  <si>
    <t>pazella.reflin@binus.ac.id</t>
  </si>
  <si>
    <t>+6281267791409</t>
  </si>
  <si>
    <t>3.44</t>
  </si>
  <si>
    <t>BN125100516</t>
  </si>
  <si>
    <t>SHAFA NAURA LIVKA NAYCILLA</t>
  </si>
  <si>
    <t>shafa.naycilla@binus.ac.id</t>
  </si>
  <si>
    <t>085654835373</t>
  </si>
  <si>
    <t>3.43</t>
  </si>
  <si>
    <t>implementasi IoT di lingkungan universitas</t>
  </si>
  <si>
    <t>BN125135002</t>
  </si>
  <si>
    <t>HANS IMMANUEL JULIUS</t>
  </si>
  <si>
    <t>hans.julius@binus.ac.id</t>
  </si>
  <si>
    <t>+6281222641360</t>
  </si>
  <si>
    <t>3.42</t>
  </si>
  <si>
    <t>78</t>
  </si>
  <si>
    <t>BN124983205</t>
  </si>
  <si>
    <t>PRIHASTA KRISA ASADHA</t>
  </si>
  <si>
    <t>prihasta.asadha@binus.ac.id</t>
  </si>
  <si>
    <t>+6285320010011</t>
  </si>
  <si>
    <t>Study Abroad</t>
  </si>
  <si>
    <t>3.41</t>
  </si>
  <si>
    <t>University of New South Wales</t>
  </si>
  <si>
    <t>Study Abroad Student</t>
  </si>
  <si>
    <t>16/02/2026</t>
  </si>
  <si>
    <t>18/07/2026</t>
  </si>
  <si>
    <t>BN125222564</t>
  </si>
  <si>
    <t>AKBAR KHALIFA JAYADININGRAT</t>
  </si>
  <si>
    <t>akbar.jayadiningrat@binus.ac.id</t>
  </si>
  <si>
    <t>+6287863242335</t>
  </si>
  <si>
    <t>3.40</t>
  </si>
  <si>
    <t>Karlsruhe University of Applied Sciences</t>
  </si>
  <si>
    <t>BN124927085</t>
  </si>
  <si>
    <t>VINNERA MARVELLINE</t>
  </si>
  <si>
    <t>vinnera.marvelline@binus.ac.id</t>
  </si>
  <si>
    <t>+6285780566290</t>
  </si>
  <si>
    <t>PT Aplikanusa Lintasarta</t>
  </si>
  <si>
    <t>BN125113430</t>
  </si>
  <si>
    <t>MICHELE GABRIELA</t>
  </si>
  <si>
    <t>michele.gabriela@binus.ac.id</t>
  </si>
  <si>
    <t>+62895327502087</t>
  </si>
  <si>
    <t>D7187</t>
  </si>
  <si>
    <t>3.39</t>
  </si>
  <si>
    <t>BN124939280</t>
  </si>
  <si>
    <t>CHERYL AVELIA</t>
  </si>
  <si>
    <t>cheryl.avelia@binus.ac.id</t>
  </si>
  <si>
    <t>+6285722829921</t>
  </si>
  <si>
    <t>Cyber Security Analysist</t>
  </si>
  <si>
    <t>BN125223081</t>
  </si>
  <si>
    <t>SINTANI GINA LESTARI</t>
  </si>
  <si>
    <t>sintani.lestari@binus.ac.id</t>
  </si>
  <si>
    <t>085865832100</t>
  </si>
  <si>
    <t>3.38</t>
  </si>
  <si>
    <t>BN124934664</t>
  </si>
  <si>
    <t>MICHAEL CHRISTOPHER YUVI</t>
  </si>
  <si>
    <t>michael.yuvi@binus.ac.id</t>
  </si>
  <si>
    <t>+6281220747177</t>
  </si>
  <si>
    <t>3.37</t>
  </si>
  <si>
    <t>BN125223094</t>
  </si>
  <si>
    <t>LEONY AGUSTIN</t>
  </si>
  <si>
    <t>leony.agustin@binus.ac.id</t>
  </si>
  <si>
    <t>+6287871498329</t>
  </si>
  <si>
    <t>BN125132392</t>
  </si>
  <si>
    <t>IVAN HERNANDO</t>
  </si>
  <si>
    <t>ivan.hernando@binus.ac.id</t>
  </si>
  <si>
    <t>081573498299</t>
  </si>
  <si>
    <t>The Trans Luxury Hotel Bandung</t>
  </si>
  <si>
    <t>BN124978230</t>
  </si>
  <si>
    <t>TRISTAN NAFI AGUNG KURNIAWAN</t>
  </si>
  <si>
    <t>tristan.kurniawan@binus.ac.id</t>
  </si>
  <si>
    <t>+6287835347721</t>
  </si>
  <si>
    <t>3.36</t>
  </si>
  <si>
    <t>BN124934374</t>
  </si>
  <si>
    <t>GREGORIUS IRAWAN</t>
  </si>
  <si>
    <t>gregorius.irawan@binus.ac.id</t>
  </si>
  <si>
    <t>+6281255706631</t>
  </si>
  <si>
    <t>BN124941272</t>
  </si>
  <si>
    <t>JONATHAN TANUSEPUTRA</t>
  </si>
  <si>
    <t>jonathan.tanuseputra@binus.ac.id</t>
  </si>
  <si>
    <t>+6289656450051</t>
  </si>
  <si>
    <t>3.35</t>
  </si>
  <si>
    <t>BN124978193</t>
  </si>
  <si>
    <t>SHARON HERMAWAN</t>
  </si>
  <si>
    <t>sharon.hermawan@binus.ac.id</t>
  </si>
  <si>
    <t>+62895639157380</t>
  </si>
  <si>
    <t>implementasi IoT di lingkungan kampus</t>
  </si>
  <si>
    <t>BN124984183</t>
  </si>
  <si>
    <t>JAMES KO</t>
  </si>
  <si>
    <t>james.ko@binus.ac.id</t>
  </si>
  <si>
    <t>+6282120831089</t>
  </si>
  <si>
    <t>PT. Melvar Lintasnusa</t>
  </si>
  <si>
    <t>Network Engineer</t>
  </si>
  <si>
    <t>BN124983193</t>
  </si>
  <si>
    <t>FELIX NATAN LIM</t>
  </si>
  <si>
    <t>felix.lim@binus.ac.id</t>
  </si>
  <si>
    <t>+6285797302556</t>
  </si>
  <si>
    <t>3.34</t>
  </si>
  <si>
    <t>PT Huasan Teknologi Indonesia (H3C)</t>
  </si>
  <si>
    <t>BN125002576</t>
  </si>
  <si>
    <t>REINHARD EFRAIM ADRIEL JONATHAN</t>
  </si>
  <si>
    <t>reinhard.jonathan@binus.ac.id</t>
  </si>
  <si>
    <t>+6281389668781</t>
  </si>
  <si>
    <t>3.33</t>
  </si>
  <si>
    <t>BN125014084</t>
  </si>
  <si>
    <t>NUGRAHA BYRU SAPPHIRE</t>
  </si>
  <si>
    <t>nugraha.sapphire@binus.ac.id</t>
  </si>
  <si>
    <t>08112326861</t>
  </si>
  <si>
    <t>3.31</t>
  </si>
  <si>
    <t>PT Saptaindra Sejati (Adaro Energy)</t>
  </si>
  <si>
    <t>BN125034230</t>
  </si>
  <si>
    <t>SEBASTIAN DARREN</t>
  </si>
  <si>
    <t>sebastian.darren@binus.ac.id</t>
  </si>
  <si>
    <t>+62895341875087</t>
  </si>
  <si>
    <t>3.29</t>
  </si>
  <si>
    <t>BN124934941</t>
  </si>
  <si>
    <t>JOSE AUSTIN</t>
  </si>
  <si>
    <t>jose.austin@binus.ac.id</t>
  </si>
  <si>
    <t>+6289502990188</t>
  </si>
  <si>
    <t>3.26</t>
  </si>
  <si>
    <t>BN125241954</t>
  </si>
  <si>
    <t>SYAMANZA FIKRI APRINO PASARIBU</t>
  </si>
  <si>
    <t>syamanza.pasaribu@binus.ac.id</t>
  </si>
  <si>
    <t>+6281260555541</t>
  </si>
  <si>
    <t>BN125204593</t>
  </si>
  <si>
    <t>AKMAL HENDRIAN MALIK</t>
  </si>
  <si>
    <t>akmal.malik@binus.ac.id</t>
  </si>
  <si>
    <t>+6282112859060</t>
  </si>
  <si>
    <t>BN125093460</t>
  </si>
  <si>
    <t>JONATHAN HARTANTO</t>
  </si>
  <si>
    <t>jonathan.hartanto001@binus.ac.id</t>
  </si>
  <si>
    <t>+6287855430059</t>
  </si>
  <si>
    <t>3.25</t>
  </si>
  <si>
    <t>BN125237130</t>
  </si>
  <si>
    <t>SABILILLAH RAMANIYA WIDODO</t>
  </si>
  <si>
    <t>sabilillah.widodo@binus.ac.id</t>
  </si>
  <si>
    <t>+628112000143</t>
  </si>
  <si>
    <t>3.24</t>
  </si>
  <si>
    <t>BN125100320</t>
  </si>
  <si>
    <t>SULTAN BINTANG RAMADHAN</t>
  </si>
  <si>
    <t>sultan.ramadhan002@binus.ac.id</t>
  </si>
  <si>
    <t>+6282125040785</t>
  </si>
  <si>
    <t>PT. Hartono Istana Teknologi (Polytron)</t>
  </si>
  <si>
    <t>Game Designer</t>
  </si>
  <si>
    <t>BN125126420</t>
  </si>
  <si>
    <t>MUHAMMAD AZKA SANTIA RAHMATULLAH</t>
  </si>
  <si>
    <t>muhammad.rahmatullah006@binus.ac.id</t>
  </si>
  <si>
    <t>+6282128657702</t>
  </si>
  <si>
    <t>3.23</t>
  </si>
  <si>
    <t>BN124938265</t>
  </si>
  <si>
    <t>NICHOLAS RICHARD CIAYADI</t>
  </si>
  <si>
    <t>nicholas.ciayadi@binus.ac.id</t>
  </si>
  <si>
    <t>+6282215467513</t>
  </si>
  <si>
    <t>PT Bank Nano Syariah</t>
  </si>
  <si>
    <t>Cloud Computing Dev.</t>
  </si>
  <si>
    <t>BN124964105</t>
  </si>
  <si>
    <t>CHRISTOPHER EVAN WIJAKSANA</t>
  </si>
  <si>
    <t>christopher.wijaksana@binus.ac.id</t>
  </si>
  <si>
    <t>+6281218814588</t>
  </si>
  <si>
    <t>3.21</t>
  </si>
  <si>
    <t>BN124978306</t>
  </si>
  <si>
    <t>NATHANAEL MAHARDIKA SUSILO</t>
  </si>
  <si>
    <t>nathanael.susilo@binus.ac.id</t>
  </si>
  <si>
    <t>+6285693019163</t>
  </si>
  <si>
    <t>SILOAM HOSPITAL</t>
  </si>
  <si>
    <t>BN125012835</t>
  </si>
  <si>
    <t>MONIQUE CLOUDYA BAGENSA</t>
  </si>
  <si>
    <t>monique.bagensa@binus.ac.id</t>
  </si>
  <si>
    <t>+6285244380110</t>
  </si>
  <si>
    <t>3.19</t>
  </si>
  <si>
    <t>BN124984145</t>
  </si>
  <si>
    <t>REYNARD ADRIAN TJAKRASENDJAJA</t>
  </si>
  <si>
    <t>reynard.tjakrasendjaja@binus.ac.id</t>
  </si>
  <si>
    <t>+628157072877</t>
  </si>
  <si>
    <t>3.18</t>
  </si>
  <si>
    <t>BN124937155</t>
  </si>
  <si>
    <t>SHIRLEY GOENAWAN</t>
  </si>
  <si>
    <t>shirley.goenawan@binus.ac.id</t>
  </si>
  <si>
    <t>085603015322</t>
  </si>
  <si>
    <t>3.16</t>
  </si>
  <si>
    <t>BN125076914</t>
  </si>
  <si>
    <t>NAUFAL GHIFARI HIDAYAT</t>
  </si>
  <si>
    <t>naufal.hidayat001@binus.ac.id</t>
  </si>
  <si>
    <t>087817989205</t>
  </si>
  <si>
    <t>3.15</t>
  </si>
  <si>
    <t>BN125241986</t>
  </si>
  <si>
    <t>CELINA SALSA SADILLA</t>
  </si>
  <si>
    <t>celina.sadilla@binus.ac.id</t>
  </si>
  <si>
    <t>+6282284107389</t>
  </si>
  <si>
    <t>BN125220565</t>
  </si>
  <si>
    <t>FRANSCELINO MELVYN</t>
  </si>
  <si>
    <t>franscelino.melvyn@binus.ac.id</t>
  </si>
  <si>
    <t>+6281221434455</t>
  </si>
  <si>
    <t>PT Saka Farma Laboratories (Kalbe Consumer Health)</t>
  </si>
  <si>
    <t>BN125104230</t>
  </si>
  <si>
    <t>DWIZGA PICHAGO FIRPHA</t>
  </si>
  <si>
    <t>dwizga.firpha@binus.ac.id</t>
  </si>
  <si>
    <t>081212728495</t>
  </si>
  <si>
    <t>PUSTEKINFO SETJEN DPR RI</t>
  </si>
  <si>
    <t>Data Scientist</t>
  </si>
  <si>
    <t>BN124983943</t>
  </si>
  <si>
    <t>YOSIA OSCAR STEPHEN MARPAUNG</t>
  </si>
  <si>
    <t>yosia.marpaung@binus.ac.id</t>
  </si>
  <si>
    <t>+62811762245</t>
  </si>
  <si>
    <t>3.13</t>
  </si>
  <si>
    <t>79</t>
  </si>
  <si>
    <t>BN125103726</t>
  </si>
  <si>
    <t>LAVINIA NATANIELA NOVYANDI</t>
  </si>
  <si>
    <t>lavinia.novyandi@binus.ac.id</t>
  </si>
  <si>
    <t>087787773918</t>
  </si>
  <si>
    <t>Front End Developer</t>
  </si>
  <si>
    <t>BN124991945</t>
  </si>
  <si>
    <t>SALMA MUNTAZ SHAUMI</t>
  </si>
  <si>
    <t>salma.shaumi@binus.ac.id</t>
  </si>
  <si>
    <t>+6289637030593</t>
  </si>
  <si>
    <t>3.12</t>
  </si>
  <si>
    <t>BN124938095</t>
  </si>
  <si>
    <t>GILMORE</t>
  </si>
  <si>
    <t>gilmore@binus.ac.id</t>
  </si>
  <si>
    <t>+628978802497</t>
  </si>
  <si>
    <t>PT Azentra Solusi Digital</t>
  </si>
  <si>
    <t>BN125015616</t>
  </si>
  <si>
    <t>JOEVAN PHILBERT MORROW YOHANSHA</t>
  </si>
  <si>
    <t>joevan.yohansha@binus.ac.id</t>
  </si>
  <si>
    <t>+628112221766</t>
  </si>
  <si>
    <t>3.11</t>
  </si>
  <si>
    <t>BN125039105</t>
  </si>
  <si>
    <t>DARREL IMMANUEL</t>
  </si>
  <si>
    <t>darrel.immanuel@binus.ac.id</t>
  </si>
  <si>
    <t>+6281398834342</t>
  </si>
  <si>
    <t>BN125141756</t>
  </si>
  <si>
    <t>DHARMA VIJA PUTRA SUGIANTO</t>
  </si>
  <si>
    <t>dharma.sugianto@binus.ac.id</t>
  </si>
  <si>
    <t>082139864433</t>
  </si>
  <si>
    <t>BN124997690</t>
  </si>
  <si>
    <t>RIZKI FIRDAUS PURNAMA</t>
  </si>
  <si>
    <t>rizki.purnama001@binus.ac.id</t>
  </si>
  <si>
    <t>+6281774181548</t>
  </si>
  <si>
    <t>3.10</t>
  </si>
  <si>
    <t>BN124934222</t>
  </si>
  <si>
    <t>DARRYL DELVIN</t>
  </si>
  <si>
    <t>darryl.delvin@binus.ac.id</t>
  </si>
  <si>
    <t>+628112313959</t>
  </si>
  <si>
    <t>3.09</t>
  </si>
  <si>
    <t>1280093942</t>
  </si>
  <si>
    <t>KATRIN MANALU</t>
  </si>
  <si>
    <t>katrin.manalu@binus.ac.id</t>
  </si>
  <si>
    <t>+6282128081923</t>
  </si>
  <si>
    <t>BN123460925</t>
  </si>
  <si>
    <t>ERWIN ROMMEL</t>
  </si>
  <si>
    <t>erwin.rommel@binus.ac.id</t>
  </si>
  <si>
    <t>087817018898</t>
  </si>
  <si>
    <t>BN125243871</t>
  </si>
  <si>
    <t>MUHAMMAD ROBBY KUSUMAH</t>
  </si>
  <si>
    <t>muhammad.kusumah001@binus.ac.id</t>
  </si>
  <si>
    <t>+6281220499074</t>
  </si>
  <si>
    <t>PT. Indonesia Global Solusindo</t>
  </si>
  <si>
    <t>Technical Consultant</t>
  </si>
  <si>
    <t>09/02/2026</t>
  </si>
  <si>
    <t>BN125089690</t>
  </si>
  <si>
    <t>ABRAMS FARIZ PRAWIROYUDHO NUSWANTO</t>
  </si>
  <si>
    <t>abrams.nuswanto@binus.ac.id</t>
  </si>
  <si>
    <t>+6285314557267</t>
  </si>
  <si>
    <t>3.08</t>
  </si>
  <si>
    <t>BN125215855</t>
  </si>
  <si>
    <t>RYAN HANIF DWIHANDOYO</t>
  </si>
  <si>
    <t>ryan.dwihandoyo@binus.ac.id</t>
  </si>
  <si>
    <t>081224225907</t>
  </si>
  <si>
    <t>PT. Xtremex Digital LTD</t>
  </si>
  <si>
    <t>BN124933964</t>
  </si>
  <si>
    <t>BENEDIKTUS EVANDY UNAMO</t>
  </si>
  <si>
    <t>benediktus.unamo@binus.ac.id</t>
  </si>
  <si>
    <t>+6281312743029</t>
  </si>
  <si>
    <t>3.07</t>
  </si>
  <si>
    <t>BN125215905</t>
  </si>
  <si>
    <t>GARRETH JECONIO BUDI UTOMO</t>
  </si>
  <si>
    <t>garreth.utomo@binus.ac.id</t>
  </si>
  <si>
    <t>+6282295630271</t>
  </si>
  <si>
    <t>BN124940194</t>
  </si>
  <si>
    <t>JONATHAN CHRISTIAN</t>
  </si>
  <si>
    <t>jonathan.christian007@binus.ac.id</t>
  </si>
  <si>
    <t>+6285179778565</t>
  </si>
  <si>
    <t>3.05</t>
  </si>
  <si>
    <t>BN124934954</t>
  </si>
  <si>
    <t>MATTHEW HIUTAMA</t>
  </si>
  <si>
    <t>matthew.hiutama@binus.ac.id</t>
  </si>
  <si>
    <t>089520802888</t>
  </si>
  <si>
    <t>PT Tera Multi Wahana</t>
  </si>
  <si>
    <t>BN124928503</t>
  </si>
  <si>
    <t>MARVIN LUCKYANTO WIJAYA</t>
  </si>
  <si>
    <t>marvin.wijaya@binus.ac.id</t>
  </si>
  <si>
    <t>+6282121379197</t>
  </si>
  <si>
    <t>3.03</t>
  </si>
  <si>
    <t>BN124962945</t>
  </si>
  <si>
    <t>DELON YOHAN SUNARTO</t>
  </si>
  <si>
    <t>delon.sunarto@binus.ac.id</t>
  </si>
  <si>
    <t>+6282124346026</t>
  </si>
  <si>
    <t>3.02</t>
  </si>
  <si>
    <t>KodeKiddo</t>
  </si>
  <si>
    <t>BN124989940</t>
  </si>
  <si>
    <t>ARVONSUS DEEVERO LIGOURI</t>
  </si>
  <si>
    <t>arvonsus.ligouri@binus.ac.id</t>
  </si>
  <si>
    <t>+6285940771722</t>
  </si>
  <si>
    <t>BN125248733</t>
  </si>
  <si>
    <t>CANDRA HIDAYATTULOH</t>
  </si>
  <si>
    <t>candra.hidayattuloh@binus.ac.id</t>
  </si>
  <si>
    <t>+6281316601433</t>
  </si>
  <si>
    <t>3.01</t>
  </si>
  <si>
    <t>BN124983855</t>
  </si>
  <si>
    <t>GABRIELLE JANELYN NATASHA SUHALIM</t>
  </si>
  <si>
    <t>gabrielle.suhalim@binus.ac.id</t>
  </si>
  <si>
    <t>+6281297173711</t>
  </si>
  <si>
    <t>BN124938990</t>
  </si>
  <si>
    <t>RUEBEN GABRIEL ISMAIL</t>
  </si>
  <si>
    <t>rueben.ismail@binus.ac.id</t>
  </si>
  <si>
    <t>+62817165003</t>
  </si>
  <si>
    <t>3.00</t>
  </si>
  <si>
    <t>PT. Indomobil Sukses Internasional</t>
  </si>
  <si>
    <t>BN124937325</t>
  </si>
  <si>
    <t>ASHABUL YAMIN AL'MUFAIZ</t>
  </si>
  <si>
    <t>ashabul.almufaiz@binus.ac.id</t>
  </si>
  <si>
    <t>+6281288644314</t>
  </si>
  <si>
    <t>2.99</t>
  </si>
  <si>
    <t>BN125013996</t>
  </si>
  <si>
    <t>VINCENT KOO</t>
  </si>
  <si>
    <t>vincent.koo@binus.ac.id</t>
  </si>
  <si>
    <t>+6285157719040</t>
  </si>
  <si>
    <t>BN125018662</t>
  </si>
  <si>
    <t>PRINCEN PUTRA KURNIAWAN</t>
  </si>
  <si>
    <t>princen.kurniawan@binus.ac.id</t>
  </si>
  <si>
    <t>+6282318416115</t>
  </si>
  <si>
    <t>2.98</t>
  </si>
  <si>
    <t>BN124953096</t>
  </si>
  <si>
    <t>STANLEY CHRISTIAN DARMAWAN</t>
  </si>
  <si>
    <t>stanley.darmawan@binus.ac.id</t>
  </si>
  <si>
    <t>+6281284200196</t>
  </si>
  <si>
    <t>PT. Exorty Indonesia</t>
  </si>
  <si>
    <t>BN125223062</t>
  </si>
  <si>
    <t>MUHAMAD RIZQULLAH ICHSON</t>
  </si>
  <si>
    <t>muhamad.ichson@binus.ac.id</t>
  </si>
  <si>
    <t>+6282251745890</t>
  </si>
  <si>
    <t>2.96</t>
  </si>
  <si>
    <t>76</t>
  </si>
  <si>
    <t xml:space="preserve">PT. Superintending Company of Indonesia ( SUCOFINDO ) </t>
  </si>
  <si>
    <t>BN124939854</t>
  </si>
  <si>
    <t>DESCA KRISNANTA</t>
  </si>
  <si>
    <t>desca.krisnanta@binus.ac.id</t>
  </si>
  <si>
    <t>+6281317881344</t>
  </si>
  <si>
    <t>2.95</t>
  </si>
  <si>
    <t>BN124943731</t>
  </si>
  <si>
    <t>JESSICA GIOVANNA CHANDRA</t>
  </si>
  <si>
    <t>jessica.chandra001@binus.ac.id</t>
  </si>
  <si>
    <t>+628154011888</t>
  </si>
  <si>
    <t>PT Periksa Solusi Indonesia</t>
  </si>
  <si>
    <t>BN124910361</t>
  </si>
  <si>
    <t>WAN MOHAMAD AXEL RINALDI</t>
  </si>
  <si>
    <t>wan.rinaldi@binus.ac.id</t>
  </si>
  <si>
    <t>081932696900</t>
  </si>
  <si>
    <t>Rusters Bali</t>
  </si>
  <si>
    <t>BN125223636</t>
  </si>
  <si>
    <t>CHALDARREN WIJAYA</t>
  </si>
  <si>
    <t>chaldarren.wijaya@binus.ac.id</t>
  </si>
  <si>
    <t>+6285161351588</t>
  </si>
  <si>
    <t>2.93</t>
  </si>
  <si>
    <t>BN124941953</t>
  </si>
  <si>
    <t>RAFI SATRIA PUTRA SUDRAJAT</t>
  </si>
  <si>
    <t>rafi.sudrajat@binus.ac.id</t>
  </si>
  <si>
    <t>+6285973956676</t>
  </si>
  <si>
    <t>BN125241992</t>
  </si>
  <si>
    <t>ZACKY AHMAD FIRHANSYAH</t>
  </si>
  <si>
    <t>zacky.firhansyah@binus.ac.id</t>
  </si>
  <si>
    <t>+6281220708594</t>
  </si>
  <si>
    <t>2.90</t>
  </si>
  <si>
    <t>BN125093504</t>
  </si>
  <si>
    <t>DJUHAR GEUSAN HARUM MANIK</t>
  </si>
  <si>
    <t>djuhar.manik@binus.ac.id</t>
  </si>
  <si>
    <t>+6282114183775</t>
  </si>
  <si>
    <t>2.89</t>
  </si>
  <si>
    <t>Bina Nusantara University</t>
  </si>
  <si>
    <t>Analytics and Visualization for Supply Chain Management</t>
  </si>
  <si>
    <t>5 Month(s)</t>
  </si>
  <si>
    <t>BN124991863</t>
  </si>
  <si>
    <t>CHRIS BERNARD</t>
  </si>
  <si>
    <t>chris.bernard@binus.ac.id</t>
  </si>
  <si>
    <t>085156234813</t>
  </si>
  <si>
    <t>2.87</t>
  </si>
  <si>
    <t>Pt Kumedia Sukses Abadi</t>
  </si>
  <si>
    <t>BN125048904</t>
  </si>
  <si>
    <t>ALBANY SISWANTO</t>
  </si>
  <si>
    <t>albany.siswanto@binus.ac.id</t>
  </si>
  <si>
    <t>082123619926</t>
  </si>
  <si>
    <t>2.86</t>
  </si>
  <si>
    <t>BN125061761</t>
  </si>
  <si>
    <t>DARREN TEODUS MEDHIK</t>
  </si>
  <si>
    <t>darren.medhik@binus.ac.id</t>
  </si>
  <si>
    <t>+6281221541018</t>
  </si>
  <si>
    <t>BN124978104</t>
  </si>
  <si>
    <t>RIO FERDINAND</t>
  </si>
  <si>
    <t>rio.ferdinand001@binus.ac.id</t>
  </si>
  <si>
    <t>08996810044</t>
  </si>
  <si>
    <t>2.84</t>
  </si>
  <si>
    <t>BN125275141</t>
  </si>
  <si>
    <t>RIZKY HAFIYYAN</t>
  </si>
  <si>
    <t>rizky.hafiyyan@binus.ac.id</t>
  </si>
  <si>
    <t>+6281285215985</t>
  </si>
  <si>
    <t>2.81</t>
  </si>
  <si>
    <t>Rumah Sakit BSH Bogor</t>
  </si>
  <si>
    <t>BN125061805</t>
  </si>
  <si>
    <t>JASON YOSWARA</t>
  </si>
  <si>
    <t>jason.yoswara@binus.ac.id</t>
  </si>
  <si>
    <t>+62818959099</t>
  </si>
  <si>
    <t>2.80</t>
  </si>
  <si>
    <t>BN124983905</t>
  </si>
  <si>
    <t>SEAN PHILIP</t>
  </si>
  <si>
    <t>sean.philip001@binus.ac.id</t>
  </si>
  <si>
    <t>+6282117708848</t>
  </si>
  <si>
    <t>PT. IP Network Solusindo</t>
  </si>
  <si>
    <t>BN125223693</t>
  </si>
  <si>
    <t>M. NAUFAL ARFA MAHZUZA</t>
  </si>
  <si>
    <t>m.mahzuza@binus.ac.id</t>
  </si>
  <si>
    <t>+6285156335752</t>
  </si>
  <si>
    <t>2.77</t>
  </si>
  <si>
    <t>BN124934084</t>
  </si>
  <si>
    <t>WIJAYA PRATAMA SUTEJA</t>
  </si>
  <si>
    <t>wijaya.suteja@binus.ac.id</t>
  </si>
  <si>
    <t>081223837291</t>
  </si>
  <si>
    <t>BN125002632</t>
  </si>
  <si>
    <t>NISA JAMALIA HANIF</t>
  </si>
  <si>
    <t>nisa.hanif@binus.ac.id</t>
  </si>
  <si>
    <t>+6282112339961</t>
  </si>
  <si>
    <t>2.75</t>
  </si>
  <si>
    <t>BN124983893</t>
  </si>
  <si>
    <t>MUHAMMAD AGRIFIAN FERLANDA</t>
  </si>
  <si>
    <t>muhammad.ferlanda@binus.ac.id</t>
  </si>
  <si>
    <t>+6281380005915</t>
  </si>
  <si>
    <t>2.71</t>
  </si>
  <si>
    <t>BN124815510</t>
  </si>
  <si>
    <t>REGINALD LIPRI</t>
  </si>
  <si>
    <t>reginald.lipri@binus.ac.id</t>
  </si>
  <si>
    <t>+6287788834188</t>
  </si>
  <si>
    <t>BN125002456</t>
  </si>
  <si>
    <t>VINCENT DEVANO</t>
  </si>
  <si>
    <t>vincent.devano@binus.ac.id</t>
  </si>
  <si>
    <t>087722673611</t>
  </si>
  <si>
    <t>Dong-A University</t>
  </si>
  <si>
    <t>BN124997785</t>
  </si>
  <si>
    <t>RADEN TORA DEYANTORO</t>
  </si>
  <si>
    <t>raden.deyantoro@binus.ac.id</t>
  </si>
  <si>
    <t>+6281381589909</t>
  </si>
  <si>
    <t>2.70</t>
  </si>
  <si>
    <t>Dinas Komunikasi dan Informatika Kota Bandung</t>
  </si>
  <si>
    <t>BN125088536</t>
  </si>
  <si>
    <t>MUHAMAD ZEFA HERYANA</t>
  </si>
  <si>
    <t>muhamad.heryana@binus.ac.id</t>
  </si>
  <si>
    <t>+6282320567037</t>
  </si>
  <si>
    <t>BN124947484</t>
  </si>
  <si>
    <t>MICKO STEFANUS</t>
  </si>
  <si>
    <t>micko.stefanus@binus.ac.id</t>
  </si>
  <si>
    <t>+6287722072997</t>
  </si>
  <si>
    <t>PT Len</t>
  </si>
  <si>
    <t>BN125153453</t>
  </si>
  <si>
    <t>FAKHRI DWIPUTRA</t>
  </si>
  <si>
    <t>fakhri.dwiputra@binus.ac.id</t>
  </si>
  <si>
    <t>+6289628862600</t>
  </si>
  <si>
    <t>2.68</t>
  </si>
  <si>
    <t>75</t>
  </si>
  <si>
    <t>BN124938113</t>
  </si>
  <si>
    <t>JELVINLON BRILLIANDO</t>
  </si>
  <si>
    <t>jelvinlon.brilliando@binus.ac.id</t>
  </si>
  <si>
    <t>+6282134233544</t>
  </si>
  <si>
    <t>2.67</t>
  </si>
  <si>
    <t>BN124934115</t>
  </si>
  <si>
    <t>IGNACIO PASCUAL NAIDY</t>
  </si>
  <si>
    <t>ignacio.naidy@binus.ac.id</t>
  </si>
  <si>
    <t>087824015600</t>
  </si>
  <si>
    <t>2.66</t>
  </si>
  <si>
    <t>BN124997412</t>
  </si>
  <si>
    <t>SABILA ARALIA REFINA</t>
  </si>
  <si>
    <t>sabila.refina@binus.ac.id</t>
  </si>
  <si>
    <t>081572386076</t>
  </si>
  <si>
    <t>BN124984214</t>
  </si>
  <si>
    <t>RIZKY HILAL RAMADHAN</t>
  </si>
  <si>
    <t>rizky.ramadhan009@binus.ac.id</t>
  </si>
  <si>
    <t>+6281394604668</t>
  </si>
  <si>
    <t>Community Impact Internship</t>
  </si>
  <si>
    <t>2.64</t>
  </si>
  <si>
    <t>Yayasan Plastic Guardian Indonesia</t>
  </si>
  <si>
    <t>WFO Shifting</t>
  </si>
  <si>
    <t>BN125242263</t>
  </si>
  <si>
    <t>NADILA ZINDI AULIA PUTRI</t>
  </si>
  <si>
    <t>nadila.putri001@binus.ac.id</t>
  </si>
  <si>
    <t>+6282294714175</t>
  </si>
  <si>
    <t>2.62</t>
  </si>
  <si>
    <t>BN125019513</t>
  </si>
  <si>
    <t>YANSEN KANGARA</t>
  </si>
  <si>
    <t>yansen.kangara@binus.ac.id</t>
  </si>
  <si>
    <t>+6288267019055</t>
  </si>
  <si>
    <t>73</t>
  </si>
  <si>
    <t>BN124985583</t>
  </si>
  <si>
    <t>MARCELLUS GERALDIO FLORENTA</t>
  </si>
  <si>
    <t>marcellus.florenta@binus.ac.id</t>
  </si>
  <si>
    <t>+6289652337901</t>
  </si>
  <si>
    <t>2.61</t>
  </si>
  <si>
    <t>BN124408476</t>
  </si>
  <si>
    <t>AYASHA KUNTUM AMARANTI</t>
  </si>
  <si>
    <t>ayasha.amaranti@binus.ac.id</t>
  </si>
  <si>
    <t>+6281224955725</t>
  </si>
  <si>
    <t>2.58</t>
  </si>
  <si>
    <t>63</t>
  </si>
  <si>
    <t>BN124908514</t>
  </si>
  <si>
    <t>FAZL ABISHA SANTOSO</t>
  </si>
  <si>
    <t>fazl.santoso@binus.ac.id</t>
  </si>
  <si>
    <t>+6282118750335</t>
  </si>
  <si>
    <t>2.55</t>
  </si>
  <si>
    <t>61</t>
  </si>
  <si>
    <t>BN125014443</t>
  </si>
  <si>
    <t>LUTHFI WIRADHIKA ANANTA</t>
  </si>
  <si>
    <t>luthfi.ananta@binus.ac.id</t>
  </si>
  <si>
    <t>+6289510580997</t>
  </si>
  <si>
    <t>2.54</t>
  </si>
  <si>
    <t>BN124962913</t>
  </si>
  <si>
    <t>BHIMO ARYO NURRAHMAN</t>
  </si>
  <si>
    <t>bhimo.nurrahman@binus.ac.id</t>
  </si>
  <si>
    <t>+6281522933337</t>
  </si>
  <si>
    <t>2.50</t>
  </si>
  <si>
    <t>71</t>
  </si>
  <si>
    <t>BN125018473</t>
  </si>
  <si>
    <t>ZERY GALLANTA SASONGKO</t>
  </si>
  <si>
    <t>zery.sasongko@binus.ac.id</t>
  </si>
  <si>
    <t>082266591472</t>
  </si>
  <si>
    <t>2.48</t>
  </si>
  <si>
    <t>BN125223705</t>
  </si>
  <si>
    <t>KEVIN ARJUNA STEFFERS</t>
  </si>
  <si>
    <t>kevin.steffers@binus.ac.id</t>
  </si>
  <si>
    <t>081339523542</t>
  </si>
  <si>
    <t>2.47</t>
  </si>
  <si>
    <t>BN125061723</t>
  </si>
  <si>
    <t>AHMAD AMIRULFALAH AFFANDINOV</t>
  </si>
  <si>
    <t>ahmad.affandinov@binus.ac.id</t>
  </si>
  <si>
    <t>+62 85721000007</t>
  </si>
  <si>
    <t>2.42</t>
  </si>
  <si>
    <t>72</t>
  </si>
  <si>
    <t>PT.Piktura Lensa Nusa</t>
  </si>
  <si>
    <t>BN125113405</t>
  </si>
  <si>
    <t>FARIS ZAIDAN SANTOSA</t>
  </si>
  <si>
    <t>faris.santosa@binus.ac.id</t>
  </si>
  <si>
    <t>+6285624068900</t>
  </si>
  <si>
    <t>2.41</t>
  </si>
  <si>
    <t>BN125215861</t>
  </si>
  <si>
    <t>NAZZAR HIBATULLAH</t>
  </si>
  <si>
    <t>nazzar.hibatullah@binus.ac.id</t>
  </si>
  <si>
    <t>+6288220711150</t>
  </si>
  <si>
    <t>2.32</t>
  </si>
  <si>
    <t>Balai Besar Pengawas Obat dan Makanan Bandung</t>
  </si>
  <si>
    <t>Systems Analyst</t>
  </si>
  <si>
    <t>BN124991964</t>
  </si>
  <si>
    <t>STANLEY THEON SIVA</t>
  </si>
  <si>
    <t>stanley.siva@binus.ac.id</t>
  </si>
  <si>
    <t>+628157019603</t>
  </si>
  <si>
    <t>2.31</t>
  </si>
  <si>
    <t>PT Bina San Prima</t>
  </si>
  <si>
    <t>BN125089702</t>
  </si>
  <si>
    <t>SULTAN DANDY FERDIAN</t>
  </si>
  <si>
    <t>sultan.ferdian@binus.ac.id</t>
  </si>
  <si>
    <t>085121082593</t>
  </si>
  <si>
    <t>2.24</t>
  </si>
  <si>
    <t>BN125040100</t>
  </si>
  <si>
    <t>MUHAMMAD IRHAM RIZQ</t>
  </si>
  <si>
    <t>muhammad.rizq@binus.ac.id</t>
  </si>
  <si>
    <t>+6281547588632</t>
  </si>
  <si>
    <t>2.19</t>
  </si>
  <si>
    <t>BN124934071</t>
  </si>
  <si>
    <t>ANDRE PRADHIT RAFI ALAMSYAH</t>
  </si>
  <si>
    <t>andre.alamsyah@binus.ac.id</t>
  </si>
  <si>
    <t>+6285121021364</t>
  </si>
  <si>
    <t>2.17</t>
  </si>
  <si>
    <t>74</t>
  </si>
  <si>
    <t>Dinas Perhubungan Kabupaten Bandung</t>
  </si>
  <si>
    <t>BN125004303</t>
  </si>
  <si>
    <t>ZORIICK</t>
  </si>
  <si>
    <t>zoriick@binus.ac.id</t>
  </si>
  <si>
    <t>+6281803119111</t>
  </si>
  <si>
    <t>2.08</t>
  </si>
  <si>
    <t>BN124934973</t>
  </si>
  <si>
    <t>NICHOLAS NUGRAHA</t>
  </si>
  <si>
    <t>nicholas.nugraha@binus.ac.id</t>
  </si>
  <si>
    <t>081237341457</t>
  </si>
  <si>
    <t>Entrepreneurship</t>
  </si>
  <si>
    <t>2.05</t>
  </si>
  <si>
    <t>Binus Incubator</t>
  </si>
  <si>
    <t>CEO</t>
  </si>
  <si>
    <t>BN124568332</t>
  </si>
  <si>
    <t>RAINER TIMOTHY</t>
  </si>
  <si>
    <t>rainer.timothy@binus.ac.id</t>
  </si>
  <si>
    <t>Certified Research</t>
  </si>
  <si>
    <t>BN124320434</t>
  </si>
  <si>
    <t>MUHAMMAD DAFFA SYACH</t>
  </si>
  <si>
    <t>muhammad.syach001@binus.ac.id</t>
  </si>
  <si>
    <t>Certified Internship</t>
  </si>
  <si>
    <t>Daniel Oetomo</t>
  </si>
  <si>
    <t>MARCELLINO RIVALDO GANI PASARIBU</t>
  </si>
  <si>
    <t>GUSTI NADZIF AL-RASYID PUTRA BUKHORI</t>
  </si>
  <si>
    <t>RADEN MOHAMMAD RAFAEL DYLAN GANDANEGARA</t>
  </si>
  <si>
    <t>D6132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</si>
</sst>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7"/>
      <color rgb="FF5E5E5E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BCDEF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3" borderId="1" xfId="0" quotePrefix="1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quotePrefix="1" applyFont="1" applyBorder="1" applyAlignment="1">
      <alignment horizontal="left" vertical="center"/>
    </xf>
    <xf numFmtId="0" fontId="2" fillId="3" borderId="2" xfId="0" quotePrefix="1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14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/>
    <xf numFmtId="0" fontId="2" fillId="0" borderId="1" xfId="0" quotePrefix="1" applyFont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0" borderId="3" xfId="0" applyFont="1" applyBorder="1"/>
    <xf numFmtId="14" fontId="2" fillId="0" borderId="3" xfId="0" applyNumberFormat="1" applyFont="1" applyBorder="1"/>
    <xf numFmtId="0" fontId="2" fillId="3" borderId="3" xfId="0" quotePrefix="1" applyFont="1" applyFill="1" applyBorder="1" applyAlignment="1">
      <alignment horizontal="left" vertical="center"/>
    </xf>
    <xf numFmtId="0" fontId="2" fillId="0" borderId="3" xfId="0" quotePrefix="1" applyFont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0" fillId="0" borderId="3" xfId="0" quotePrefix="1" applyBorder="1" applyAlignment="1">
      <alignment vertical="center"/>
    </xf>
    <xf numFmtId="0" fontId="0" fillId="0" borderId="0" xfId="0" pivotButton="1"/>
    <xf numFmtId="0" fontId="2" fillId="0" borderId="4" xfId="0" quotePrefix="1" applyFont="1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14" fontId="2" fillId="3" borderId="3" xfId="0" applyNumberFormat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/>
    </xf>
    <xf numFmtId="0" fontId="4" fillId="0" borderId="0" xfId="0" applyFont="1"/>
    <xf numFmtId="0" fontId="0" fillId="0" borderId="5" xfId="0" applyBorder="1"/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di Juarto" refreshedDate="46062.418352893517" createdVersion="8" refreshedVersion="8" minRefreshableVersion="3" recordCount="171" xr:uid="{BAB8B48D-9673-413A-9731-E6836A0566FB}">
  <cacheSource type="worksheet">
    <worksheetSource ref="A1:Q172" sheet="Sheet1"/>
  </cacheSource>
  <cacheFields count="17">
    <cacheField name="BINUSIAN ID" numFmtId="0">
      <sharedItems/>
    </cacheField>
    <cacheField name="STUDENT ID" numFmtId="0">
      <sharedItems containsSemiMixedTypes="0" containsString="0" containsNumber="1" containsInteger="1" minValue="2501976485" maxValue="2702409854"/>
    </cacheField>
    <cacheField name="STUDENT NAME" numFmtId="0">
      <sharedItems count="170">
        <s v="FILIP NATHAN"/>
        <s v="WILLIAM THEODORUS WIJAYA"/>
        <s v="TERENCE CAHYADI PRANOTO"/>
        <s v="KENNETH SUNJAYA"/>
        <s v="TOHRU DJUNAEDI SATO"/>
        <s v="JEREMY AXEL SURYAMIHARJA"/>
        <s v="YOEL KHARIS WIJAYA WONG"/>
        <s v="FREDERICK KRISNA SURYOPRANOTO"/>
        <s v="THEODORE MARVIN HENDRAWAN"/>
        <s v="STEPANUS IMANUEL"/>
        <s v="EZRELA FIDELYNN SURYA WIBISANA"/>
        <s v="GABRIELLE JECONIAH CHRISTIANDO"/>
        <s v="JAYSON KELVIN"/>
        <s v="MICHAEL SUTHIRTA"/>
        <s v="REYNARD SETIAWAN"/>
        <s v="NOVELLINA EDYAWATI"/>
        <s v="SHERLY OKTAVIA WILLISA"/>
        <s v="DAMIEN HERLNATA"/>
        <s v="DAVIN MIGUEL SANJAYA"/>
        <s v="ALBERTUS JANUARIO"/>
        <s v="THEONA ARLINTON"/>
        <s v="EDWARD NATHANAEL YUSTIAN"/>
        <s v="MUHAMMAD RAFI ISNAEN"/>
        <s v="EDUARDO RICHIE IMANUELL"/>
        <s v="EMANUELLE FRIZZIA DARREN SUHERMAN"/>
        <s v="NELSON FERDINAND WANGSAPUTRA"/>
        <s v="MIKHAEL HENOKH SANTOSO"/>
        <s v="JAMES TANUWIJAYA"/>
        <s v="KENZIE TIMOTHY EBENEZER"/>
        <s v="NABILA DANISHA PUTRI"/>
        <s v="NADHIFA AQMARINA PUTRI"/>
        <s v="GIOVANO JULIAN SOMANTRY"/>
        <s v="DUSTIN MANUEL"/>
        <s v="RENJI EARL KURNIAWAN"/>
        <s v="ALVIN JONATHAN"/>
        <s v="IGNATIUS VARREL SANTOSO"/>
        <s v="RADJA DANENDRA AL ISLAMI GUSINDATAMA"/>
        <s v="BRYAN THANAYA"/>
        <s v="CALVIN ANDREAS"/>
        <s v="ELISSA PATRICIA"/>
        <s v="JASON MATTHEW"/>
        <s v="IMMANUEL SINAGA"/>
        <s v="JOSHUA JONATHAN FARIMAN"/>
        <s v="SHANE RYU CAHYA"/>
        <s v="TALITHA ZASIZKI GUNARA"/>
        <s v="MICHAEL WIJAYA"/>
        <s v="JACKNIUS"/>
        <s v="ANTONIUS WILLIAM WIJAYA"/>
        <s v="NATASHA DIAN MAHARDITA"/>
        <s v="VINCENTIUS AARON"/>
        <s v="ERIKA ROSELYN HUSEN"/>
        <s v="STEVEN JEREMIAH"/>
        <s v="DENZEL MALIK IBRAHIM"/>
        <s v="LUQMAN NURHOIRIZA"/>
        <s v="JOANNES JASON SUTISNA"/>
        <s v="PAZELLA MUTIA REFLIN"/>
        <s v="SHAFA NAURA LIVKA NAYCILLA"/>
        <s v="HANS IMMANUEL JULIUS"/>
        <s v="PRIHASTA KRISA ASADHA"/>
        <s v="AKBAR KHALIFA JAYADININGRAT"/>
        <s v="VINNERA MARVELLINE"/>
        <s v="MICHELE GABRIELA"/>
        <s v="CHERYL AVELIA"/>
        <s v="SINTANI GINA LESTARI"/>
        <s v="MICHAEL CHRISTOPHER YUVI"/>
        <s v="LEONY AGUSTIN"/>
        <s v="IVAN HERNANDO"/>
        <s v="TRISTAN NAFI AGUNG KURNIAWAN"/>
        <s v="GREGORIUS IRAWAN"/>
        <s v="JONATHAN TANUSEPUTRA"/>
        <s v="SHARON HERMAWAN"/>
        <s v="JAMES KO"/>
        <s v="FELIX NATAN LIM"/>
        <s v="REINHARD EFRAIM ADRIEL JONATHAN"/>
        <s v="NUGRAHA BYRU SAPPHIRE"/>
        <s v="SEBASTIAN DARREN"/>
        <s v="JOSE AUSTIN"/>
        <s v="SYAMANZA FIKRI APRINO PASARIBU"/>
        <s v="AKMAL HENDRIAN MALIK"/>
        <s v="JONATHAN HARTANTO"/>
        <s v="SABILILLAH RAMANIYA WIDODO"/>
        <s v="SULTAN BINTANG RAMADHAN"/>
        <s v="MUHAMMAD AZKA SANTIA RAHMATULLAH"/>
        <s v="NICHOLAS RICHARD CIAYADI"/>
        <s v="CHRISTOPHER EVAN WIJAKSANA"/>
        <s v="NATHANAEL MAHARDIKA SUSILO"/>
        <s v="MONIQUE CLOUDYA BAGENSA"/>
        <s v="REYNARD ADRIAN TJAKRASENDJAJA"/>
        <s v="SHIRLEY GOENAWAN"/>
        <s v="NAUFAL GHIFARI HIDAYAT"/>
        <s v="CELINA SALSA SADILLA"/>
        <s v="FRANSCELINO MELVYN"/>
        <s v="DWIZGA PICHAGO FIRPHA"/>
        <s v="YOSIA OSCAR STEPHEN MARPAUNG"/>
        <s v="LAVINIA NATANIELA NOVYANDI"/>
        <s v="SALMA MUNTAZ SHAUMI"/>
        <s v="GILMORE"/>
        <s v="JOEVAN PHILBERT MORROW YOHANSHA"/>
        <s v="DARREL IMMANUEL"/>
        <s v="DHARMA VIJA PUTRA SUGIANTO"/>
        <s v="RIZKI FIRDAUS PURNAMA"/>
        <s v="DARRYL DELVIN"/>
        <s v="KATRIN MANALU"/>
        <s v="ERWIN ROMMEL"/>
        <s v="MUHAMMAD ROBBY KUSUMAH"/>
        <s v="ABRAMS FARIZ PRAWIROYUDHO NUSWANTO"/>
        <s v="RYAN HANIF DWIHANDOYO"/>
        <s v="BENEDIKTUS EVANDY UNAMO"/>
        <s v="GARRETH JECONIO BUDI UTOMO"/>
        <s v="JONATHAN CHRISTIAN"/>
        <s v="MATTHEW HIUTAMA"/>
        <s v="MARVIN LUCKYANTO WIJAYA"/>
        <s v="DELON YOHAN SUNARTO"/>
        <s v="ARVONSUS DEEVERO LIGOURI"/>
        <s v="CANDRA HIDAYATTULOH"/>
        <s v="GABRIELLE JANELYN NATASHA SUHALIM"/>
        <s v="RUEBEN GABRIEL ISMAIL"/>
        <s v="ASHABUL YAMIN AL'MUFAIZ"/>
        <s v="VINCENT KOO"/>
        <s v="PRINCEN PUTRA KURNIAWAN"/>
        <s v="STANLEY CHRISTIAN DARMAWAN"/>
        <s v="MUHAMAD RIZQULLAH ICHSON"/>
        <s v="DESCA KRISNANTA"/>
        <s v="JESSICA GIOVANNA CHANDRA"/>
        <s v="WAN MOHAMAD AXEL RINALDI"/>
        <s v="CHALDARREN WIJAYA"/>
        <s v="RAFI SATRIA PUTRA SUDRAJAT"/>
        <s v="ZACKY AHMAD FIRHANSYAH"/>
        <s v="DJUHAR GEUSAN HARUM MANIK"/>
        <s v="CHRIS BERNARD"/>
        <s v="ALBANY SISWANTO"/>
        <s v="DARREN TEODUS MEDHIK"/>
        <s v="RIO FERDINAND"/>
        <s v="RIZKY HAFIYYAN"/>
        <s v="JASON YOSWARA"/>
        <s v="SEAN PHILIP"/>
        <s v="M. NAUFAL ARFA MAHZUZA"/>
        <s v="WIJAYA PRATAMA SUTEJA"/>
        <s v="NISA JAMALIA HANIF"/>
        <s v="MUHAMMAD AGRIFIAN FERLANDA"/>
        <s v="REGINALD LIPRI"/>
        <s v="VINCENT DEVANO"/>
        <s v="RADEN TORA DEYANTORO"/>
        <s v="MUHAMAD ZEFA HERYANA"/>
        <s v="MICKO STEFANUS"/>
        <s v="FAKHRI DWIPUTRA"/>
        <s v="JELVINLON BRILLIANDO"/>
        <s v="IGNACIO PASCUAL NAIDY"/>
        <s v="SABILA ARALIA REFINA"/>
        <s v="RIZKY HILAL RAMADHAN"/>
        <s v="NADILA ZINDI AULIA PUTRI"/>
        <s v="YANSEN KANGARA"/>
        <s v="MARCELLUS GERALDIO FLORENTA"/>
        <s v="AYASHA KUNTUM AMARANTI"/>
        <s v="FAZL ABISHA SANTOSO"/>
        <s v="LUTHFI WIRADHIKA ANANTA"/>
        <s v="BHIMO ARYO NURRAHMAN"/>
        <s v="ZERY GALLANTA SASONGKO"/>
        <s v="KEVIN ARJUNA STEFFERS"/>
        <s v="AHMAD AMIRULFALAH AFFANDINOV"/>
        <s v="FARIS ZAIDAN SANTOSA"/>
        <s v="NAZZAR HIBATULLAH"/>
        <s v="STANLEY THEON SIVA"/>
        <s v="SULTAN DANDY FERDIAN"/>
        <s v="MUHAMMAD IRHAM RIZQ"/>
        <s v="ANDRE PRADHIT RAFI ALAMSYAH"/>
        <s v="ZORIICK"/>
        <s v="NICHOLAS NUGRAHA"/>
        <s v="RAINER TIMOTHY"/>
        <s v="MUHAMMAD DAFFA SYACH"/>
      </sharedItems>
    </cacheField>
    <cacheField name="STUDENT EMAIL" numFmtId="0">
      <sharedItems/>
    </cacheField>
    <cacheField name="STUDENT PHONE" numFmtId="0">
      <sharedItems containsMixedTypes="1" containsNumber="1" containsInteger="1" minValue="6285101687780" maxValue="6285974330005"/>
    </cacheField>
    <cacheField name="TRACK" numFmtId="0">
      <sharedItems/>
    </cacheField>
    <cacheField name="kode dosen" numFmtId="0">
      <sharedItems containsBlank="1"/>
    </cacheField>
    <cacheField name="FS" numFmtId="0">
      <sharedItems containsBlank="1" count="15">
        <s v="Riccosan, S.Kom., M.Kom."/>
        <s v="Dr. Abdul Haris Rangkuti, S.Kom., M.M., M.Si."/>
        <s v="Dr. Mochammad Haldi Widianto, S.T., M.T."/>
        <s v="Rissa Rahmania, S.T., M.T."/>
        <s v="Dr. Dani Suandi, S.Si., M.Si."/>
        <s v="Karen Etania Saputra, S.Kom., M.Kom."/>
        <s v="Dr. Husni Iskandar Pohan, S.Kom, M.T."/>
        <s v="Muhammad Maulana Ramadhan, S.Kom., M.Kom."/>
        <s v="Dr. Johan Muliadi Kerta, S.Kom., M.M."/>
        <s v="Budi Juarto"/>
        <s v="Livia Janice Widiapradja, S.Si., Ph.D."/>
        <s v="Dr. Dany Eka Saputra, S.T., M.T."/>
        <s v="Dr. Boby Siswanto, S.T., M.T."/>
        <m/>
        <s v="Cutifa Safitri, B.CS., M. IT., Ph.D."/>
      </sharedItems>
    </cacheField>
    <cacheField name="GPA" numFmtId="0">
      <sharedItems containsMixedTypes="1" containsNumber="1" minValue="2.92" maxValue="3.61"/>
    </cacheField>
    <cacheField name="TOTAL SKS" numFmtId="0">
      <sharedItems containsMixedTypes="1" containsNumber="1" containsInteger="1" minValue="90" maxValue="100"/>
    </cacheField>
    <cacheField name="PARTNER/LECTURER" numFmtId="0">
      <sharedItems/>
    </cacheField>
    <cacheField name="POSITION/TOPIC" numFmtId="0">
      <sharedItems/>
    </cacheField>
    <cacheField name="DURATION" numFmtId="0">
      <sharedItems/>
    </cacheField>
    <cacheField name="JOB START DATE" numFmtId="0">
      <sharedItems containsDate="1" containsMixedTypes="1" minDate="2026-01-03T00:00:00" maxDate="2026-12-03T00:00:00"/>
    </cacheField>
    <cacheField name="JOB END DATE" numFmtId="0">
      <sharedItems containsDate="1" containsMixedTypes="1" minDate="2026-02-08T00:00:00" maxDate="2027-12-03T00:00:00"/>
    </cacheField>
    <cacheField name="WORK SCHEMA" numFmtId="0">
      <sharedItems/>
    </cacheField>
    <cacheField name="ENROLLMEN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BN124939293"/>
    <n v="2702232990"/>
    <x v="0"/>
    <s v="filip.nathan@binus.ac.id"/>
    <s v="0818187588"/>
    <s v="Company Internship"/>
    <s v="D6836"/>
    <x v="0"/>
    <s v="3.98"/>
    <s v="82"/>
    <s v="PT. Bank Central Asia, Tbk"/>
    <s v="Data Engineer / Developer"/>
    <s v="12 Month(s)"/>
    <s v="02/02/2026"/>
    <s v="31/01/2027"/>
    <s v="Onsite"/>
    <s v="Enrolled"/>
  </r>
  <r>
    <s v="BN124934014"/>
    <n v="2702227901"/>
    <x v="1"/>
    <s v="william.wijaya028@binus.ac.id"/>
    <s v="081395551682"/>
    <s v="Company Internship"/>
    <s v="D2211"/>
    <x v="1"/>
    <s v="3.97"/>
    <s v="80"/>
    <s v="The Software Practice Pte. Ltd."/>
    <s v="Software Engineer"/>
    <s v="12 Month(s)"/>
    <s v="02/02/2026"/>
    <s v="31/01/2027"/>
    <s v="Onsite"/>
    <s v="Enrolled"/>
  </r>
  <r>
    <s v="BN124934033"/>
    <n v="2702227933"/>
    <x v="2"/>
    <s v="terence.pranoto@binus.ac.id"/>
    <s v="08112346468"/>
    <s v="Research Fellowship"/>
    <s v="D6184"/>
    <x v="2"/>
    <s v="3.96"/>
    <s v="82"/>
    <s v="Mochammad Haldi Widianto, S.T., M.T."/>
    <s v="implementasi IoT di lingkungan sekolah"/>
    <s v="12 Month(s)"/>
    <d v="2026-02-02T00:00:00"/>
    <d v="2027-02-02T00:00:00"/>
    <s v="WFO"/>
    <s v="Enrolled"/>
  </r>
  <r>
    <s v="BN124999140"/>
    <n v="2702273315"/>
    <x v="3"/>
    <s v="kenneth.sunjaya002@binus.ac.id"/>
    <s v="+62895362464800"/>
    <s v="Company Internship"/>
    <s v="D6836"/>
    <x v="0"/>
    <s v="3.96"/>
    <s v="80"/>
    <s v="PT. Bank Central Asia, Tbk"/>
    <s v="Application Developer"/>
    <s v="12 Month(s)"/>
    <s v="02/02/2026"/>
    <s v="31/01/2027"/>
    <s v="Onsite"/>
    <s v="Not Yet Enrolled"/>
  </r>
  <r>
    <s v="BN125043626"/>
    <n v="2702303330"/>
    <x v="4"/>
    <s v="tohru.sato@binus.ac.id"/>
    <s v="+6281280819255"/>
    <s v="Company Internship"/>
    <s v="D6408"/>
    <x v="3"/>
    <s v="3.96"/>
    <s v="80"/>
    <s v="PT. Panji Edukasi Nusantara (Apple Developer Academy @BINUS)"/>
    <s v="Apple Academy Program (Dedicated for APPLE Inc.,)"/>
    <s v="10 Month(s)"/>
    <s v="02/03/2026"/>
    <s v="31/12/2026"/>
    <s v="Hybrid"/>
    <s v="Not Yet Enrolled"/>
  </r>
  <r>
    <s v="BN125103745"/>
    <n v="2702331782"/>
    <x v="5"/>
    <s v="jeremy.suryamiharja@binus.ac.id"/>
    <s v="+6285161112704"/>
    <s v="Company Internship"/>
    <s v="D2211"/>
    <x v="1"/>
    <s v="3.95"/>
    <s v="82"/>
    <s v="PT. Kamoro Maxima Integra"/>
    <s v="Application Developer"/>
    <s v="12 Month(s)"/>
    <s v="02/02/2026"/>
    <s v="31/01/2027"/>
    <s v="Hybrid"/>
    <s v="Not Yet Enrolled"/>
  </r>
  <r>
    <s v="BN124934046"/>
    <n v="2702227946"/>
    <x v="6"/>
    <s v="yoel.wong@binus.ac.id"/>
    <s v="+6281348587481"/>
    <s v="Company Internship"/>
    <s v="D2211"/>
    <x v="1"/>
    <s v="3.94"/>
    <s v="80"/>
    <s v="PT Modular Mining Indonesia"/>
    <s v="Software Engineer"/>
    <s v="12 Month(s)"/>
    <d v="2026-02-02T00:00:00"/>
    <d v="2027-02-02T00:00:00"/>
    <s v="Onsite"/>
    <s v="Enrolled"/>
  </r>
  <r>
    <s v="BN124997886"/>
    <n v="2702272382"/>
    <x v="7"/>
    <s v="frederick.suryopranoto@binus.ac.id"/>
    <s v="+6289529532449"/>
    <s v="Company Internship"/>
    <s v="D6836"/>
    <x v="0"/>
    <s v="3.93"/>
    <s v="80"/>
    <s v="PT. Bank Central Asia, Tbk"/>
    <s v="Data Engineer / Developer"/>
    <s v="12 Month(s)"/>
    <s v="02/02/2026"/>
    <s v="31/01/2027"/>
    <s v="Onsite"/>
    <s v="Not Yet Enrolled"/>
  </r>
  <r>
    <s v="BN124961154"/>
    <n v="2702247550"/>
    <x v="8"/>
    <s v="theodore.hendrawan@binus.ac.id"/>
    <s v="+6281556638858"/>
    <s v="Company Internship"/>
    <s v="D6532"/>
    <x v="4"/>
    <s v="3.91"/>
    <s v="82"/>
    <s v="Bina Nusantara University - School of Computer Science (Bandung)"/>
    <s v="IT Developer"/>
    <s v="6 Month(s)"/>
    <d v="2026-02-02T00:00:00"/>
    <s v="31/07/2026"/>
    <s v="Onsite"/>
    <s v="Enrolled"/>
  </r>
  <r>
    <s v="BN125211144"/>
    <n v="2702355574"/>
    <x v="9"/>
    <s v="stepanus.imanuel@binus.ac.id"/>
    <s v="+6282181182005"/>
    <s v="Company Internship"/>
    <s v="D6408"/>
    <x v="3"/>
    <s v="3.91"/>
    <s v="80"/>
    <s v="PT. Panji Edukasi Nusantara (Apple Developer Academy @BINUS)"/>
    <s v="Apple Academy Program (Dedicated for APPLE Inc.,)"/>
    <s v="10 Month(s)"/>
    <s v="02/03/2026"/>
    <s v="31/12/2026"/>
    <s v="Hybrid"/>
    <s v="Not Yet Enrolled"/>
  </r>
  <r>
    <s v="BN124978054"/>
    <n v="2702260086"/>
    <x v="10"/>
    <s v="ezrela.wibisana@binus.ac.id"/>
    <s v="082129333996"/>
    <s v="Company Internship"/>
    <s v="D2211"/>
    <x v="1"/>
    <s v="3.89"/>
    <s v="82"/>
    <s v="Joy Leap Studio"/>
    <s v="Web Developer"/>
    <s v="12 Month(s)"/>
    <d v="2026-02-02T00:00:00"/>
    <d v="2027-02-02T00:00:00"/>
    <s v="Virtual"/>
    <s v="Enrolled"/>
  </r>
  <r>
    <s v="BN124934361"/>
    <n v="2702228236"/>
    <x v="11"/>
    <s v="gabrielle.christiando@binus.ac.id"/>
    <s v="+6289655786993"/>
    <s v="Company Internship"/>
    <s v="D2211"/>
    <x v="1"/>
    <s v="3.89"/>
    <s v="80"/>
    <s v="PT. Akur Pratama"/>
    <s v="Web Developer"/>
    <s v="6 Month(s)"/>
    <d v="2026-02-02T00:00:00"/>
    <d v="2026-02-08T00:00:00"/>
    <s v="Onsite"/>
    <s v="Enrolled"/>
  </r>
  <r>
    <s v="BN124981036"/>
    <n v="2702261580"/>
    <x v="12"/>
    <s v="jayson.kelvin@binus.ac.id"/>
    <s v="088222292415"/>
    <s v="Company Internship"/>
    <s v="D6826"/>
    <x v="5"/>
    <s v="3.89"/>
    <s v="82"/>
    <s v="Starlab Indonesia"/>
    <s v="Coding Instructor"/>
    <s v="12 Month(s)"/>
    <s v="02/02/2026"/>
    <s v="31/01/2027"/>
    <s v="Onsite"/>
    <s v="Enrolled"/>
  </r>
  <r>
    <s v="BN124934405"/>
    <n v="2702228274"/>
    <x v="13"/>
    <s v="michael.suthirta@binus.ac.id"/>
    <s v="08818395983"/>
    <s v="Company Internship"/>
    <s v="D2211"/>
    <x v="1"/>
    <s v="3.87"/>
    <s v="82"/>
    <s v="PT. Mayora Indah, Tbk (Mayora Group)"/>
    <s v="Application Developer"/>
    <s v="12 Month(s)"/>
    <s v="02/02/2026"/>
    <s v="31/01/2027"/>
    <s v="Onsite"/>
    <s v="Enrolled"/>
  </r>
  <r>
    <s v="BN124938580"/>
    <n v="2702232321"/>
    <x v="14"/>
    <s v="reynard.setiawan001@binus.ac.id"/>
    <s v="+62895351969010"/>
    <s v="Company Internship"/>
    <s v="D6408"/>
    <x v="3"/>
    <s v="3.86"/>
    <s v="80"/>
    <s v="PT. Panji Edukasi Nusantara (Apple Developer Academy @BINUS)"/>
    <s v="Apple Academy Program (Dedicated for APPLE Inc.,)"/>
    <s v="10 Month(s)"/>
    <s v="02/03/2026"/>
    <s v="31/12/2026"/>
    <s v="Hybrid"/>
    <s v="Not Yet Enrolled"/>
  </r>
  <r>
    <s v="BN124934355"/>
    <n v="2702228223"/>
    <x v="15"/>
    <s v="novellina.edyawati@binus.ac.id"/>
    <s v="+6287821738999"/>
    <s v="Company Internship"/>
    <s v="D6274"/>
    <x v="6"/>
    <s v="3.85"/>
    <s v="80"/>
    <s v="PT. Kalbe Farma, Tbk"/>
    <s v="Software Engineer"/>
    <s v="12 Month(s)"/>
    <s v="02/02/2026"/>
    <s v="02/02/2027"/>
    <s v="Virtual"/>
    <s v="Enrolled"/>
  </r>
  <r>
    <s v="BN124985753"/>
    <n v="2702262993"/>
    <x v="16"/>
    <s v="sherly.willisa@binus.ac.id"/>
    <s v="+62895604091019"/>
    <s v="Company Internship"/>
    <s v="D6469"/>
    <x v="7"/>
    <s v="3.84"/>
    <s v="80"/>
    <s v="PT. LION SUPER INDO"/>
    <s v="Programmer"/>
    <s v="12 Month(s)"/>
    <d v="2026-02-02T00:00:00"/>
    <s v="31/01/2027"/>
    <s v="Onsite"/>
    <s v="Enrolled"/>
  </r>
  <r>
    <s v="BN001025531"/>
    <n v="2702327684"/>
    <x v="17"/>
    <s v="damien.herlnata@binus.ac.id"/>
    <s v="+6282273702165"/>
    <s v="Company Internship"/>
    <s v="D6469"/>
    <x v="7"/>
    <s v="3.84"/>
    <s v="80"/>
    <s v="PT. Realta Chakradarma"/>
    <s v="Application Developer"/>
    <s v="12 Month(s)"/>
    <s v="23/02/2026"/>
    <s v="22/02/2027"/>
    <s v="Onsite"/>
    <s v="Not Yet Enrolled"/>
  </r>
  <r>
    <s v="BN124958481"/>
    <n v="2702245431"/>
    <x v="18"/>
    <s v="davin.sanjaya@binus.ac.id"/>
    <s v="085603598550"/>
    <s v="Company Internship"/>
    <s v="D1749"/>
    <x v="8"/>
    <s v="3.83"/>
    <s v="80"/>
    <s v="PT. Nutrifood Indonesia"/>
    <s v="Database Specialist"/>
    <s v="12 Month(s)"/>
    <s v="02/02/2026"/>
    <s v="31/01/2027"/>
    <s v="Hybrid"/>
    <s v="Enrolled"/>
  </r>
  <r>
    <s v="BN125132410"/>
    <n v="2702341890"/>
    <x v="19"/>
    <s v="albertus.januario@binus.ac.id"/>
    <s v="+6285624316660"/>
    <s v="Company Internship"/>
    <s v="D6826"/>
    <x v="5"/>
    <s v="3.83"/>
    <s v="80"/>
    <s v="Starlab Indonesia"/>
    <s v="Coding Instructor"/>
    <s v="12 Month(s)"/>
    <s v="02/02/2026"/>
    <s v="31/01/2027"/>
    <s v="Onsite"/>
    <s v="Enrolled"/>
  </r>
  <r>
    <s v="BN125204391"/>
    <n v="2702352250"/>
    <x v="20"/>
    <s v="theona.arlinton@binus.ac.id"/>
    <s v="+6289510928284"/>
    <s v="Company Internship"/>
    <s v="D6408"/>
    <x v="3"/>
    <s v="3.81"/>
    <s v="80"/>
    <s v="PT. Panji Edukasi Nusantara (Apple Developer Academy @BINUS)"/>
    <s v="Apple Academy Program (Dedicated for APPLE Inc.,)"/>
    <s v="10 Month(s)"/>
    <s v="01/03/2026"/>
    <s v="31/12/2026"/>
    <s v="Onsite"/>
    <s v="Not Yet Enrolled"/>
  </r>
  <r>
    <s v="BN125061093"/>
    <n v="2702308810"/>
    <x v="21"/>
    <s v="edward.yustian@binus.ac.id"/>
    <s v="+6283827941576"/>
    <s v="Company Internship"/>
    <s v="D6184"/>
    <x v="2"/>
    <s v="3.80"/>
    <s v="80"/>
    <s v="PT. Adira Dinamika Multi Finance Tbk"/>
    <s v="Data Analyst"/>
    <s v="12 Month(s)"/>
    <d v="2026-02-02T00:00:00"/>
    <d v="2027-01-02T00:00:00"/>
    <s v="Onsite"/>
    <s v="Enrolled"/>
  </r>
  <r>
    <s v="BN125045133"/>
    <n v="2702303362"/>
    <x v="22"/>
    <s v="muhammad.isnaen@binus.ac.id"/>
    <s v="+6281991711208"/>
    <s v="Company Internship"/>
    <s v="D1749"/>
    <x v="8"/>
    <s v="3.79"/>
    <s v="82"/>
    <s v="PT. Inovasi Daya Solusi"/>
    <s v="Back End Developer"/>
    <s v="12 Month(s)"/>
    <s v="02/02/2026"/>
    <s v="31/01/2027"/>
    <s v="Onsite"/>
    <s v="Enrolled"/>
  </r>
  <r>
    <s v="BN124941253"/>
    <n v="2702234466"/>
    <x v="23"/>
    <s v="eduardo.imanuell@binus.ac.id"/>
    <s v="+6281214929601"/>
    <s v="Company Internship"/>
    <s v="D6408"/>
    <x v="3"/>
    <s v="3.78"/>
    <s v="80"/>
    <s v="PT. Panji Edukasi Nusantara (Apple Developer Academy @BINUS)"/>
    <s v="Apple Academy Program (Dedicated for APPLE Inc.,)"/>
    <s v="10 Month(s)"/>
    <s v="01/03/2026"/>
    <s v="31/12/2026"/>
    <s v="Onsite"/>
    <s v="Enrolled"/>
  </r>
  <r>
    <s v="BN124947452"/>
    <n v="2702239681"/>
    <x v="24"/>
    <s v="emanuelle.suherman@binus.ac.id"/>
    <s v="+6282127728082"/>
    <s v="Company Internship"/>
    <s v="D6408"/>
    <x v="3"/>
    <s v="3.78"/>
    <s v="82"/>
    <s v="PT. Panji Edukasi Nusantara (Apple Developer Academy @BINUS)"/>
    <s v="Apple Academy Program (Dedicated for APPLE Inc.,)"/>
    <s v="10 Month(s)"/>
    <s v="02/03/2026"/>
    <s v="31/12/2026"/>
    <s v="Hybrid"/>
    <s v="Not Yet Enrolled"/>
  </r>
  <r>
    <s v="BN124934960"/>
    <n v="2702228892"/>
    <x v="25"/>
    <s v="nelson.wangsaputra@binus.ac.id"/>
    <s v="+6282117573435"/>
    <s v="Company Internship"/>
    <s v="D6670"/>
    <x v="9"/>
    <s v="3.76"/>
    <s v="82"/>
    <s v="Bina Nusantara University - School of Computer Science (Bandung)"/>
    <s v="IT Developer"/>
    <s v="6 Month(s)"/>
    <d v="2026-02-02T00:00:00"/>
    <s v="31/07/2026"/>
    <s v="Onsite"/>
    <s v="Enrolled"/>
  </r>
  <r>
    <s v="BN124947515"/>
    <n v="2702239750"/>
    <x v="26"/>
    <s v="mikhael.santoso@binus.ac.id"/>
    <s v="+6281286926501"/>
    <s v="Company Internship"/>
    <s v="D6274"/>
    <x v="6"/>
    <s v="3.75"/>
    <s v="80"/>
    <s v="PT Adicipta Inovasi Teknologi (AdIns)"/>
    <s v="Full Stack Developer"/>
    <s v="12 Month(s)"/>
    <s v="02/02/2026"/>
    <s v="31/01/2027"/>
    <s v="Hybrid"/>
    <s v="Not Yet Enrolled"/>
  </r>
  <r>
    <s v="BN125204611"/>
    <n v="2702352414"/>
    <x v="27"/>
    <s v="james.tanuwijaya@binus.ac.id"/>
    <s v="+6282123487274"/>
    <s v="Company Internship"/>
    <s v="D1749"/>
    <x v="8"/>
    <s v="3.75"/>
    <s v="80"/>
    <s v="PT Astra Otoparts, Tbk"/>
    <s v="Security and Networking"/>
    <s v="12 Month(s)"/>
    <d v="2026-02-02T00:00:00"/>
    <d v="2027-02-02T00:00:00"/>
    <s v="Onsite"/>
    <s v="Not Yet Enrolled"/>
  </r>
  <r>
    <s v="BN124944431"/>
    <n v="2702236805"/>
    <x v="28"/>
    <s v="kenzie.ebenezer@binus.ac.id"/>
    <s v="+6281324573823"/>
    <s v="Company Internship"/>
    <s v="D1749"/>
    <x v="8"/>
    <s v="3.75"/>
    <s v="82"/>
    <s v="PT Mitra Solusi Telematika"/>
    <s v="Software Engineer"/>
    <s v="12 Month(s)"/>
    <d v="2026-02-02T00:00:00"/>
    <s v="31/01/2027"/>
    <s v="Onsite"/>
    <s v="Enrolled"/>
  </r>
  <r>
    <s v="BN125223176"/>
    <n v="2702361652"/>
    <x v="29"/>
    <s v="nabila.putri019@binus.ac.id"/>
    <s v="082130255334"/>
    <s v="Company Internship"/>
    <s v="D6670"/>
    <x v="9"/>
    <s v="3.75"/>
    <s v="80"/>
    <s v="PT. Astra Daihatsu Motor"/>
    <s v="Machine Learning Dev."/>
    <s v="12 Month(s)"/>
    <s v="01/03/2026"/>
    <s v="28/02/2027"/>
    <s v="Onsite"/>
    <s v="Not Yet Enrolled"/>
  </r>
  <r>
    <s v="BN124935206"/>
    <n v="2702229176"/>
    <x v="30"/>
    <s v="nadhifa.putri@binus.ac.id"/>
    <s v="+6285722240594"/>
    <s v="Company Internship"/>
    <s v="D2211"/>
    <x v="1"/>
    <s v="3.74"/>
    <s v="82"/>
    <s v="Makers Institute"/>
    <s v="Full Stack Developer"/>
    <s v="12 Month(s)"/>
    <d v="2026-02-02T00:00:00"/>
    <d v="2027-02-02T00:00:00"/>
    <s v="Onsite"/>
    <s v="Enrolled"/>
  </r>
  <r>
    <s v="BN124934834"/>
    <n v="2702228734"/>
    <x v="31"/>
    <s v="giovano.somantry@binus.ac.id"/>
    <s v="081323707777"/>
    <s v="Company Internship"/>
    <s v="D6274"/>
    <x v="6"/>
    <s v="3.71"/>
    <s v="82"/>
    <s v="PT. Mega Komposit Indonesia"/>
    <s v="Web Developer"/>
    <s v="12 Month(s)"/>
    <d v="2026-12-02T00:00:00"/>
    <s v="31/01/2027"/>
    <s v="Onsite"/>
    <s v="Enrolled"/>
  </r>
  <r>
    <s v="BN125099621"/>
    <n v="2702327583"/>
    <x v="32"/>
    <s v="dustin.manuel@binus.ac.id"/>
    <s v="+6282385314193"/>
    <s v="Specific Independent Study"/>
    <s v="D7055"/>
    <x v="10"/>
    <s v="3.70"/>
    <s v="80"/>
    <s v="-"/>
    <s v="-"/>
    <s v="-"/>
    <s v="-"/>
    <s v="-"/>
    <s v="-"/>
    <s v="Not Yet Enrolled"/>
  </r>
  <r>
    <s v="BN124966640"/>
    <n v="2702252134"/>
    <x v="33"/>
    <s v="renji.kurniawan@binus.ac.id"/>
    <s v="+6281223501775"/>
    <s v="Company Internship"/>
    <s v="D6836"/>
    <x v="0"/>
    <s v="3.69"/>
    <s v="80"/>
    <s v="PT. Bank Central Asia, Tbk"/>
    <s v="Application Developer"/>
    <s v="12 Month(s)"/>
    <s v="02/02/2026"/>
    <s v="31/01/2027"/>
    <s v="Onsite"/>
    <s v="Enrolled"/>
  </r>
  <r>
    <s v="BN124966615"/>
    <n v="2702252102"/>
    <x v="34"/>
    <s v="alvin.jonathan002@binus.ac.id"/>
    <s v="082126185438"/>
    <s v="Company Internship"/>
    <s v="D6407"/>
    <x v="11"/>
    <s v="3.69"/>
    <s v="82"/>
    <s v="PT. Eigerindo Multi Produk Industri"/>
    <s v="Technical Writer"/>
    <s v="12 Month(s)"/>
    <d v="2026-02-02T00:00:00"/>
    <d v="2027-02-02T00:00:00"/>
    <s v="Onsite"/>
    <s v="Enrolled"/>
  </r>
  <r>
    <s v="BN124578056"/>
    <n v="2602074103"/>
    <x v="35"/>
    <s v="ignatius.santoso@binus.ac.id"/>
    <s v="+6285320036737"/>
    <s v="Company Internship"/>
    <s v="D2211"/>
    <x v="1"/>
    <s v="3.68"/>
    <s v="100"/>
    <s v="PT Binar Consulting Indonesia"/>
    <s v="Full Stack Developer"/>
    <s v="6 Month(s)"/>
    <s v="02/02/2026"/>
    <s v="30/07/2026"/>
    <s v="Onsite"/>
    <s v="Enrolled"/>
  </r>
  <r>
    <s v="BN125018712"/>
    <n v="2702282591"/>
    <x v="36"/>
    <s v="radja.gusindatama@binus.ac.id"/>
    <s v="+6281221622862"/>
    <s v="Company Internship"/>
    <s v="D2211"/>
    <x v="1"/>
    <s v="3.67"/>
    <s v="80"/>
    <s v="Samsung Research Indonesia"/>
    <s v="Software Engineer"/>
    <s v="12 Month(s)"/>
    <d v="2026-02-02T00:00:00"/>
    <s v="31/01/2027"/>
    <s v="Onsite"/>
    <s v="Enrolled"/>
  </r>
  <r>
    <s v="BN125107485"/>
    <n v="2702334784"/>
    <x v="37"/>
    <s v="bryan.thanaya@binus.ac.id"/>
    <s v="+6281397833239"/>
    <s v="Company Internship"/>
    <s v="D1749"/>
    <x v="8"/>
    <s v="3.66"/>
    <s v="82"/>
    <s v="PT. Cyberindo Aditama (CBN)"/>
    <s v="Back End Developer"/>
    <s v="12 Month(s)"/>
    <s v="02/02/2026"/>
    <s v="02/02/2027"/>
    <s v="Onsite"/>
    <s v="Not Yet Enrolled"/>
  </r>
  <r>
    <s v="BN125086240"/>
    <n v="2702319051"/>
    <x v="38"/>
    <s v="calvin.andreas@binus.ac.id"/>
    <s v="081346576736"/>
    <s v="Company Internship"/>
    <s v="D5918"/>
    <x v="12"/>
    <s v="3.65"/>
    <s v="82"/>
    <s v="Bina Nusantara University - School of Computer Science (Bandung)"/>
    <s v="IT Developer"/>
    <s v="6 Month(s)"/>
    <d v="2026-02-02T00:00:00"/>
    <s v="31/07/2026"/>
    <s v="Onsite"/>
    <s v="Enrolled"/>
  </r>
  <r>
    <s v="BN125002531"/>
    <n v="2702275485"/>
    <x v="39"/>
    <s v="elissa.patricia@binus.ac.id"/>
    <s v="+6287827717025"/>
    <s v="Company Internship"/>
    <s v="D6670"/>
    <x v="9"/>
    <s v="3.65"/>
    <s v="82"/>
    <s v="PT. Astra Graphia Information Technology (AGIT)"/>
    <s v="Development and Operations (DevOps) Engineer"/>
    <s v="12 Month(s)"/>
    <s v="02/02/2026"/>
    <s v="31/01/2027"/>
    <s v="Onsite"/>
    <s v="Enrolled"/>
  </r>
  <r>
    <s v="BN124981010"/>
    <n v="2702261574"/>
    <x v="40"/>
    <s v="jason.matthew003@binus.ac.id"/>
    <s v="0895396330120"/>
    <s v="Company Internship"/>
    <s v="D2211"/>
    <x v="1"/>
    <s v="3.64"/>
    <s v="80"/>
    <s v="PT. Accelist Lentera Indonesia"/>
    <s v="Full Stack Developer"/>
    <s v="12 Month(s)"/>
    <s v="02/02/2026"/>
    <s v="31/01/2027"/>
    <s v="Onsite"/>
    <s v="Enrolled"/>
  </r>
  <r>
    <s v="BN125023076"/>
    <n v="2702286412"/>
    <x v="41"/>
    <s v="immanuel.sinaga@binus.ac.id"/>
    <s v="+6281370008765"/>
    <s v="Company Internship"/>
    <s v="D6670"/>
    <x v="9"/>
    <s v="3.64"/>
    <s v="82"/>
    <s v="PT. Astra Graphia Information Technology (AGIT)"/>
    <s v="System Engineer"/>
    <s v="12 Month(s)"/>
    <d v="2026-02-02T00:00:00"/>
    <s v="31/01/2027"/>
    <s v="Virtual"/>
    <s v="Enrolled"/>
  </r>
  <r>
    <s v="BN124940206"/>
    <n v="2702233791"/>
    <x v="42"/>
    <s v="joshua.fariman@binus.ac.id"/>
    <s v="+6289626200218"/>
    <s v="Company Internship"/>
    <s v="D6836"/>
    <x v="0"/>
    <s v="3.64"/>
    <s v="82"/>
    <s v="PT. Bank Central Asia, Tbk"/>
    <s v="Business Analyst"/>
    <s v="12 Month(s)"/>
    <d v="2026-02-02T00:00:00"/>
    <s v="31/01/2027"/>
    <s v="Onsite"/>
    <s v="Enrolled"/>
  </r>
  <r>
    <s v="BN124985330"/>
    <n v="2702262791"/>
    <x v="43"/>
    <s v="shane.cahya@binus.ac.id"/>
    <s v="+6282181949596"/>
    <s v="Company Internship"/>
    <s v="D6407"/>
    <x v="11"/>
    <s v="3.64"/>
    <s v="80"/>
    <s v="PT. TRIMITRA TRANS PERSADA (B-LOG) Tbk"/>
    <s v="IT Support"/>
    <s v="12 Month(s)"/>
    <d v="2026-02-02T00:00:00"/>
    <s v="31/01/2027"/>
    <s v="Onsite"/>
    <s v="Enrolled"/>
  </r>
  <r>
    <s v="BN125223144"/>
    <n v="2702361620"/>
    <x v="44"/>
    <s v="talitha.gunara@binus.ac.id"/>
    <s v="+6285173132583"/>
    <s v="Company Internship"/>
    <s v="D6826"/>
    <x v="5"/>
    <s v="3.60"/>
    <s v="82"/>
    <s v="99 Group (99.co | Rumah123.com)"/>
    <s v="Mobile Programmer"/>
    <s v="12 Month(s)"/>
    <s v="02/02/2026"/>
    <s v="31/01/2027"/>
    <s v="Hybrid"/>
    <s v="Enrolled"/>
  </r>
  <r>
    <s v="BN124964295"/>
    <n v="2702250261"/>
    <x v="45"/>
    <s v="michael.wijaya023@binus.ac.id"/>
    <s v="+62895337166188"/>
    <s v="Company Internship"/>
    <s v="D6836"/>
    <x v="0"/>
    <s v="3.59"/>
    <s v="82"/>
    <s v="PT. Bank Central Asia, Tbk"/>
    <s v="Data Engineer / Developer"/>
    <s v="12 Month(s)"/>
    <s v="02/02/2026"/>
    <s v="31/01/2027"/>
    <s v="Onsite"/>
    <s v="Not Yet Enrolled"/>
  </r>
  <r>
    <s v="BN124939652"/>
    <n v="2702233311"/>
    <x v="46"/>
    <s v="jacknius@binus.ac.id"/>
    <s v="+6282390465896"/>
    <s v="Company Internship"/>
    <s v="D6836"/>
    <x v="0"/>
    <s v="3.55"/>
    <s v="82"/>
    <s v="PT. Bank Central Asia, Tbk"/>
    <s v="Application Developer"/>
    <s v="12 Month(s)"/>
    <s v="02/02/2026"/>
    <s v="31/01/2027"/>
    <s v="Onsite"/>
    <s v="Not Yet Enrolled"/>
  </r>
  <r>
    <s v="BN123835070"/>
    <n v="2702272003"/>
    <x v="47"/>
    <s v="antonius.wijaya004@binus.ac.id"/>
    <s v="081385422266"/>
    <s v="Company Internship"/>
    <s v="D1749"/>
    <x v="8"/>
    <s v="3.55"/>
    <s v="82"/>
    <s v="PT. Nusantara Compnet Integrator"/>
    <s v="Programmer"/>
    <s v="12 Month(s)"/>
    <s v="02/02/2026"/>
    <s v="31/01/2027"/>
    <s v="Onsite"/>
    <s v="Not Yet Enrolled"/>
  </r>
  <r>
    <s v="BN125088100"/>
    <n v="2702320210"/>
    <x v="48"/>
    <s v="natasha.mahardita@binus.ac.id"/>
    <s v="+6287833809564"/>
    <s v="Company Internship"/>
    <s v="D6469"/>
    <x v="7"/>
    <s v="3.54"/>
    <s v="82"/>
    <s v="PT. Enseval Putera Megatrading Tbk"/>
    <s v="ERP Specialist"/>
    <s v="12 Month(s)"/>
    <s v="02/02/2026"/>
    <s v="02/02/2027"/>
    <s v="Onsite"/>
    <s v="Not Yet Enrolled"/>
  </r>
  <r>
    <s v="BN124981080"/>
    <n v="2702261611"/>
    <x v="49"/>
    <s v="vincentius.aaron@binus.ac.id"/>
    <s v="+6282214909535"/>
    <s v="Specific Independent Study"/>
    <s v="D5918"/>
    <x v="12"/>
    <s v="3.53"/>
    <s v="82"/>
    <s v="-"/>
    <s v="-"/>
    <s v="-"/>
    <s v="-"/>
    <s v="-"/>
    <s v="-"/>
    <s v="Not Yet Enrolled"/>
  </r>
  <r>
    <s v="BN124977285"/>
    <n v="2702259235"/>
    <x v="50"/>
    <s v="erika.husen@binus.ac.id"/>
    <s v="+6281318802860"/>
    <s v="Company Internship"/>
    <s v="D6836"/>
    <x v="0"/>
    <s v="3.50"/>
    <s v="82"/>
    <s v="PT. Bank Sinarmas, Tbk"/>
    <s v="Product Manager"/>
    <s v="12 Month(s)"/>
    <s v="24/02/2026"/>
    <s v="24/02/2027"/>
    <s v="Onsite"/>
    <s v="Not Yet Enrolled"/>
  </r>
  <r>
    <s v="BN124977266"/>
    <n v="2702259191"/>
    <x v="51"/>
    <s v="steven.jeremiah@binus.ac.id"/>
    <s v="081316151978"/>
    <s v="Company Internship"/>
    <s v="D2211"/>
    <x v="1"/>
    <s v="3.50"/>
    <s v="82"/>
    <s v="PT. Kamoro Maxima Integra"/>
    <s v="Application Developer"/>
    <s v="12 Month(s)"/>
    <s v="02/02/2026"/>
    <s v="31/01/2027"/>
    <s v="Hybrid"/>
    <s v="Not Yet Enrolled"/>
  </r>
  <r>
    <s v="BN124991900"/>
    <n v="2702267211"/>
    <x v="52"/>
    <s v="denzel.ibrahim@binus.ac.id"/>
    <s v="+6281312006216"/>
    <s v="Company Internship"/>
    <s v="D6408"/>
    <x v="3"/>
    <s v="3.49"/>
    <s v="82"/>
    <s v="PT. Panji Edukasi Nusantara (Apple Developer Academy @BINUS)"/>
    <s v="Apple Academy Program (Dedicated for APPLE Inc.,)"/>
    <s v="10 Month(s)"/>
    <s v="02/03/2026"/>
    <s v="31/12/2026"/>
    <s v="Hybrid"/>
    <s v="Not Yet Enrolled"/>
  </r>
  <r>
    <s v="BN125237194"/>
    <n v="2702374592"/>
    <x v="53"/>
    <s v="luqman.nurhoiriza@binus.ac.id"/>
    <s v="+6285930251151"/>
    <s v="Company Internship"/>
    <s v="D6469"/>
    <x v="7"/>
    <s v="3.48"/>
    <s v="80"/>
    <s v="PT Mitra Solusi Telematika"/>
    <s v="UI/UX Designer"/>
    <s v="12 Month(s)"/>
    <d v="2026-02-02T00:00:00"/>
    <s v="31/01/2027"/>
    <s v="Onsite"/>
    <s v="Enrolled"/>
  </r>
  <r>
    <s v="BN124977171"/>
    <n v="2702259090"/>
    <x v="54"/>
    <s v="joannes.sutisna@binus.ac.id"/>
    <s v="+6285222749765"/>
    <s v="Company Internship"/>
    <s v="D6469"/>
    <x v="7"/>
    <s v="3.45"/>
    <s v="82"/>
    <s v="PT. Realta Chakradarma"/>
    <s v="Software Engineer"/>
    <s v="12 Month(s)"/>
    <s v="23/02/2026"/>
    <s v="22/02/2027"/>
    <s v="Onsite"/>
    <s v="Enrolled"/>
  </r>
  <r>
    <s v="BN125138326"/>
    <n v="2702343523"/>
    <x v="55"/>
    <s v="pazella.reflin@binus.ac.id"/>
    <s v="+6281267791409"/>
    <s v="Company Internship"/>
    <s v="D6407"/>
    <x v="11"/>
    <s v="3.44"/>
    <s v="82"/>
    <s v="Bina Nusantara University - School of Computer Science (Bandung)"/>
    <s v="IT Developer"/>
    <s v="6 Month(s)"/>
    <d v="2026-02-02T00:00:00"/>
    <s v="31/07/2026"/>
    <s v="Onsite"/>
    <s v="Enrolled"/>
  </r>
  <r>
    <s v="BN125100516"/>
    <n v="2702328264"/>
    <x v="56"/>
    <s v="shafa.naycilla@binus.ac.id"/>
    <s v="085654835373"/>
    <s v="Research Fellowship"/>
    <s v="D6184"/>
    <x v="2"/>
    <s v="3.43"/>
    <s v="80"/>
    <s v="Mochammad Haldi Widianto, S.T., M.T."/>
    <s v="implementasi IoT di lingkungan universitas"/>
    <s v="6 Month(s)"/>
    <d v="2026-02-02T00:00:00"/>
    <d v="2026-02-08T00:00:00"/>
    <s v="WFO"/>
    <s v="Enrolled"/>
  </r>
  <r>
    <s v="BN125135002"/>
    <n v="2702342924"/>
    <x v="57"/>
    <s v="hans.julius@binus.ac.id"/>
    <s v="+6281222641360"/>
    <s v="Company Internship"/>
    <s v="D6274"/>
    <x v="6"/>
    <s v="3.42"/>
    <s v="78"/>
    <s v="PT Adicipta Inovasi Teknologi (AdIns)"/>
    <s v="Full Stack Developer"/>
    <s v="12 Month(s)"/>
    <d v="2026-02-02T00:00:00"/>
    <s v="31/01/2027"/>
    <s v="Hybrid"/>
    <s v="Enrolled"/>
  </r>
  <r>
    <s v="BN124983205"/>
    <n v="2702262072"/>
    <x v="58"/>
    <s v="prihasta.asadha@binus.ac.id"/>
    <s v="+6285320010011"/>
    <s v="Study Abroad"/>
    <m/>
    <x v="13"/>
    <s v="3.41"/>
    <s v="82"/>
    <s v="University of New South Wales"/>
    <s v="Study Abroad Student"/>
    <s v="-"/>
    <s v="16/02/2026"/>
    <s v="18/07/2026"/>
    <s v="-"/>
    <s v="Not Yet Enrolled"/>
  </r>
  <r>
    <s v="BN125222564"/>
    <n v="2702361280"/>
    <x v="59"/>
    <s v="akbar.jayadiningrat@binus.ac.id"/>
    <s v="+6287863242335"/>
    <s v="Study Abroad"/>
    <m/>
    <x v="13"/>
    <s v="3.40"/>
    <s v="82"/>
    <s v="Karlsruhe University of Applied Sciences"/>
    <s v="Study Abroad Student"/>
    <s v="-"/>
    <s v="16/02/2026"/>
    <s v="18/07/2026"/>
    <s v="-"/>
    <s v="Not Yet Enrolled"/>
  </r>
  <r>
    <s v="BN124927085"/>
    <n v="2702223273"/>
    <x v="60"/>
    <s v="vinnera.marvelline@binus.ac.id"/>
    <s v="+6285780566290"/>
    <s v="Company Internship"/>
    <s v="D6407"/>
    <x v="11"/>
    <s v="3.40"/>
    <s v="82"/>
    <s v="PT Aplikanusa Lintasarta"/>
    <s v="Application Developer"/>
    <s v="12 Month(s)"/>
    <d v="2026-02-02T00:00:00"/>
    <s v="31/01/2027"/>
    <s v="Hybrid"/>
    <s v="Not Yet Enrolled"/>
  </r>
  <r>
    <s v="BN125113430"/>
    <n v="2702337382"/>
    <x v="61"/>
    <s v="michele.gabriela@binus.ac.id"/>
    <s v="+62895327502087"/>
    <s v="Specific Independent Study"/>
    <s v="D7187"/>
    <x v="14"/>
    <s v="3.39"/>
    <s v="78"/>
    <s v="-"/>
    <s v="-"/>
    <s v="-"/>
    <s v="-"/>
    <s v="-"/>
    <s v="-"/>
    <s v="Not Yet Enrolled"/>
  </r>
  <r>
    <s v="BN124939280"/>
    <n v="2702232971"/>
    <x v="62"/>
    <s v="cheryl.avelia@binus.ac.id"/>
    <s v="+6285722829921"/>
    <s v="Company Internship"/>
    <s v="D1749"/>
    <x v="8"/>
    <s v="3.39"/>
    <s v="80"/>
    <s v="PT. Accelist Lentera Indonesia"/>
    <s v="Cyber Security Analysist"/>
    <s v="12 Month(s)"/>
    <d v="2026-02-02T00:00:00"/>
    <s v="31/01/2027"/>
    <s v="Onsite"/>
    <s v="Enrolled"/>
  </r>
  <r>
    <s v="BN125223081"/>
    <n v="2702361564"/>
    <x v="63"/>
    <s v="sintani.lestari@binus.ac.id"/>
    <s v="085865832100"/>
    <s v="Company Internship"/>
    <s v="D6408"/>
    <x v="3"/>
    <s v="3.38"/>
    <s v="82"/>
    <s v="PT. Panji Edukasi Nusantara (Apple Developer Academy @BINUS)"/>
    <s v="Apple Academy Program (Dedicated for APPLE Inc.,)"/>
    <s v="10 Month(s)"/>
    <s v="02/03/2026"/>
    <s v="31/12/2026"/>
    <s v="Hybrid"/>
    <s v="Not Yet Enrolled"/>
  </r>
  <r>
    <s v="BN124934664"/>
    <n v="2702228545"/>
    <x v="64"/>
    <s v="michael.yuvi@binus.ac.id"/>
    <s v="+6281220747177"/>
    <s v="Company Internship"/>
    <s v="D6670"/>
    <x v="9"/>
    <s v="3.37"/>
    <s v="82"/>
    <s v="Bina Nusantara University - School of Computer Science (Bandung)"/>
    <s v="IT Developer"/>
    <s v="6 Month(s)"/>
    <d v="2026-02-02T00:00:00"/>
    <s v="31/07/2026"/>
    <s v="Onsite"/>
    <s v="Enrolled"/>
  </r>
  <r>
    <s v="BN125223094"/>
    <n v="2702361583"/>
    <x v="65"/>
    <s v="leony.agustin@binus.ac.id"/>
    <s v="+6287871498329"/>
    <s v="Company Internship"/>
    <s v="D6836"/>
    <x v="0"/>
    <s v="3.37"/>
    <s v="82"/>
    <s v="PT. Bank Sinarmas, Tbk"/>
    <s v="Product Manager"/>
    <s v="12 Month(s)"/>
    <s v="24/02/2026"/>
    <s v="24/02/2027"/>
    <s v="Onsite"/>
    <s v="Not Yet Enrolled"/>
  </r>
  <r>
    <s v="BN125132392"/>
    <n v="2702341871"/>
    <x v="66"/>
    <s v="ivan.hernando@binus.ac.id"/>
    <s v="081573498299"/>
    <s v="Company Internship"/>
    <s v="D6826"/>
    <x v="5"/>
    <s v="3.37"/>
    <s v="82"/>
    <s v="The Trans Luxury Hotel Bandung"/>
    <s v="IT Support"/>
    <s v="12 Month(s)"/>
    <d v="2026-02-02T00:00:00"/>
    <s v="31/01/2027"/>
    <s v="Onsite"/>
    <s v="Enrolled"/>
  </r>
  <r>
    <s v="BN124978230"/>
    <n v="2702260306"/>
    <x v="67"/>
    <s v="tristan.kurniawan@binus.ac.id"/>
    <s v="+6287835347721"/>
    <s v="Specific Independent Study"/>
    <s v="D5918"/>
    <x v="12"/>
    <s v="3.36"/>
    <s v="80"/>
    <s v="-"/>
    <s v="-"/>
    <s v="-"/>
    <s v="-"/>
    <s v="-"/>
    <s v="-"/>
    <s v="Not Yet Enrolled"/>
  </r>
  <r>
    <s v="BN124934374"/>
    <n v="2702228242"/>
    <x v="68"/>
    <s v="gregorius.irawan@binus.ac.id"/>
    <s v="+6281255706631"/>
    <s v="Company Internship"/>
    <s v="D6469"/>
    <x v="7"/>
    <s v="3.36"/>
    <s v="82"/>
    <s v="Bina Nusantara University - School of Computer Science (Bandung)"/>
    <s v="IT Developer"/>
    <s v="6 Month(s)"/>
    <d v="2026-02-02T00:00:00"/>
    <s v="31/07/2026"/>
    <s v="Onsite"/>
    <s v="Enrolled"/>
  </r>
  <r>
    <s v="BN124941272"/>
    <n v="2702234491"/>
    <x v="69"/>
    <s v="jonathan.tanuseputra@binus.ac.id"/>
    <s v="+6289656450051"/>
    <s v="Specific Independent Study"/>
    <s v="D7187"/>
    <x v="14"/>
    <s v="3.35"/>
    <s v="80"/>
    <s v="-"/>
    <s v="-"/>
    <s v="-"/>
    <s v="-"/>
    <s v="-"/>
    <s v="-"/>
    <s v="Not Yet Enrolled"/>
  </r>
  <r>
    <s v="BN124978193"/>
    <n v="2702260262"/>
    <x v="70"/>
    <s v="sharon.hermawan@binus.ac.id"/>
    <s v="+62895639157380"/>
    <s v="Research Fellowship"/>
    <s v="D6184"/>
    <x v="2"/>
    <s v="3.35"/>
    <s v="82"/>
    <s v="Mochammad Haldi Widianto, S.T., M.T."/>
    <s v="implementasi IoT di lingkungan kampus"/>
    <s v="6 Month(s)"/>
    <d v="2026-02-02T00:00:00"/>
    <d v="2026-02-08T00:00:00"/>
    <s v="WFO"/>
    <s v="Enrolled"/>
  </r>
  <r>
    <s v="BN124984183"/>
    <n v="2702262601"/>
    <x v="71"/>
    <s v="james.ko@binus.ac.id"/>
    <s v="+6282120831089"/>
    <s v="Company Internship"/>
    <s v="D1749"/>
    <x v="8"/>
    <s v="3.35"/>
    <s v="80"/>
    <s v="PT. Melvar Lintasnusa"/>
    <s v="Network Engineer"/>
    <s v="6 Month(s)"/>
    <d v="2026-02-02T00:00:00"/>
    <d v="2026-02-08T00:00:00"/>
    <s v="Onsite"/>
    <s v="Enrolled"/>
  </r>
  <r>
    <s v="BN124983193"/>
    <n v="2702262066"/>
    <x v="72"/>
    <s v="felix.lim@binus.ac.id"/>
    <s v="+6285797302556"/>
    <s v="Company Internship"/>
    <s v="D1749"/>
    <x v="8"/>
    <s v="3.34"/>
    <s v="82"/>
    <s v="PT Huasan Teknologi Indonesia (H3C)"/>
    <s v="Network Engineer"/>
    <s v="12 Month(s)"/>
    <s v="02/02/2026"/>
    <s v="31/01/2027"/>
    <s v="Onsite"/>
    <s v="Enrolled"/>
  </r>
  <r>
    <s v="BN125002576"/>
    <n v="2702275535"/>
    <x v="73"/>
    <s v="reinhard.jonathan@binus.ac.id"/>
    <s v="+6281389668781"/>
    <s v="Company Internship"/>
    <s v="D6836"/>
    <x v="0"/>
    <s v="3.33"/>
    <s v="82"/>
    <s v="PT. Bank Sinarmas, Tbk"/>
    <s v="Software Engineer"/>
    <s v="12 Month(s)"/>
    <d v="2026-02-02T00:00:00"/>
    <s v="31/01/2027"/>
    <s v="Onsite"/>
    <s v="Enrolled"/>
  </r>
  <r>
    <s v="BN125014084"/>
    <n v="2702280043"/>
    <x v="74"/>
    <s v="nugraha.sapphire@binus.ac.id"/>
    <s v="08112326861"/>
    <s v="Company Internship"/>
    <s v="D5918"/>
    <x v="12"/>
    <s v="3.31"/>
    <s v="82"/>
    <s v="PT Saptaindra Sejati (Adaro Energy)"/>
    <s v="IT Developer"/>
    <s v="12 Month(s)"/>
    <d v="2026-02-02T00:00:00"/>
    <d v="2027-02-02T00:00:00"/>
    <s v="Onsite"/>
    <s v="Enrolled"/>
  </r>
  <r>
    <s v="BN125034230"/>
    <n v="2702296016"/>
    <x v="75"/>
    <s v="sebastian.darren@binus.ac.id"/>
    <s v="+62895341875087"/>
    <s v="Company Internship"/>
    <s v="D6408"/>
    <x v="3"/>
    <s v="3.29"/>
    <s v="80"/>
    <s v="PT. Panji Edukasi Nusantara (Apple Developer Academy @BINUS)"/>
    <s v="Apple Academy Program (Dedicated for APPLE Inc.,)"/>
    <s v="10 Month(s)"/>
    <s v="02/03/2026"/>
    <s v="31/12/2026"/>
    <s v="Hybrid"/>
    <s v="Not Yet Enrolled"/>
  </r>
  <r>
    <s v="BN124934941"/>
    <n v="2702228873"/>
    <x v="76"/>
    <s v="jose.austin@binus.ac.id"/>
    <s v="+6289502990188"/>
    <s v="Specific Independent Study"/>
    <s v="D7187"/>
    <x v="14"/>
    <s v="3.26"/>
    <s v="78"/>
    <s v="-"/>
    <s v="-"/>
    <s v="-"/>
    <s v="-"/>
    <s v="-"/>
    <s v="-"/>
    <s v="Not Yet Enrolled"/>
  </r>
  <r>
    <s v="BN125241954"/>
    <n v="2702379100"/>
    <x v="77"/>
    <s v="syamanza.pasaribu@binus.ac.id"/>
    <s v="+6281260555541"/>
    <s v="Specific Independent Study"/>
    <s v="D5918"/>
    <x v="12"/>
    <s v="3.26"/>
    <s v="80"/>
    <s v="-"/>
    <s v="-"/>
    <s v="-"/>
    <s v="-"/>
    <s v="-"/>
    <s v="-"/>
    <s v="Not Yet Enrolled"/>
  </r>
  <r>
    <s v="BN125204593"/>
    <n v="2702352383"/>
    <x v="78"/>
    <s v="akmal.malik@binus.ac.id"/>
    <s v="+6282112859060"/>
    <s v="Company Internship"/>
    <s v="D6670"/>
    <x v="9"/>
    <s v="3.26"/>
    <s v="82"/>
    <s v="Bina Nusantara University - School of Computer Science (Bandung)"/>
    <s v="IT Developer"/>
    <s v="6 Month(s)"/>
    <d v="2026-02-02T00:00:00"/>
    <s v="31/07/2026"/>
    <s v="Onsite"/>
    <s v="Enrolled"/>
  </r>
  <r>
    <s v="BN125093460"/>
    <n v="2702324202"/>
    <x v="79"/>
    <s v="jonathan.hartanto001@binus.ac.id"/>
    <s v="+6287855430059"/>
    <s v="Research Fellowship"/>
    <s v="D6184"/>
    <x v="2"/>
    <s v="3.25"/>
    <s v="80"/>
    <s v="Mochammad Haldi Widianto, S.T., M.T."/>
    <s v="implementasi IoT di lingkungan sekolah"/>
    <s v="12 Month(s)"/>
    <d v="2026-02-02T00:00:00"/>
    <d v="2027-02-02T00:00:00"/>
    <s v="WFO"/>
    <s v="Enrolled"/>
  </r>
  <r>
    <s v="BN125237130"/>
    <n v="2702374535"/>
    <x v="80"/>
    <s v="sabilillah.widodo@binus.ac.id"/>
    <s v="+628112000143"/>
    <s v="Research Fellowship"/>
    <s v="D6184"/>
    <x v="2"/>
    <s v="3.24"/>
    <s v="80"/>
    <s v="Mochammad Haldi Widianto, S.T., M.T."/>
    <s v="implementasi IoT di lingkungan kampus"/>
    <s v="6 Month(s)"/>
    <d v="2026-02-02T00:00:00"/>
    <d v="2026-02-08T00:00:00"/>
    <s v="WFO"/>
    <s v="Enrolled"/>
  </r>
  <r>
    <s v="BN125100320"/>
    <n v="2702328043"/>
    <x v="81"/>
    <s v="sultan.ramadhan002@binus.ac.id"/>
    <s v="+6282125040785"/>
    <s v="Company Internship"/>
    <s v="D6469"/>
    <x v="7"/>
    <s v="3.24"/>
    <s v="82"/>
    <s v="PT. Hartono Istana Teknologi (Polytron)"/>
    <s v="Game Designer"/>
    <s v="12 Month(s)"/>
    <d v="2026-02-02T00:00:00"/>
    <s v="31/01/2027"/>
    <s v="Onsite"/>
    <s v="Enrolled"/>
  </r>
  <r>
    <s v="BN125126420"/>
    <n v="2702339835"/>
    <x v="82"/>
    <s v="muhammad.rahmatullah006@binus.ac.id"/>
    <s v="+6282128657702"/>
    <s v="Company Internship"/>
    <s v="D6826"/>
    <x v="5"/>
    <s v="3.23"/>
    <s v="82"/>
    <s v="99 Group (99.co | Rumah123.com)"/>
    <s v="Software Engineer"/>
    <s v="12 Month(s)"/>
    <s v="02/02/2026"/>
    <s v="31/01/2027"/>
    <s v="Hybrid"/>
    <s v="Enrolled"/>
  </r>
  <r>
    <s v="BN124938265"/>
    <n v="2702232050"/>
    <x v="83"/>
    <s v="nicholas.ciayadi@binus.ac.id"/>
    <s v="+6282215467513"/>
    <s v="Company Internship"/>
    <s v="D6836"/>
    <x v="0"/>
    <s v="3.23"/>
    <s v="82"/>
    <s v="PT Bank Nano Syariah"/>
    <s v="Cloud Computing Dev."/>
    <s v="12 Month(s)"/>
    <d v="2026-02-02T00:00:00"/>
    <s v="31/01/2027"/>
    <s v="Onsite"/>
    <s v="Enrolled"/>
  </r>
  <r>
    <s v="BN124964105"/>
    <n v="2702250053"/>
    <x v="84"/>
    <s v="christopher.wijaksana@binus.ac.id"/>
    <s v="+6281218814588"/>
    <s v="Company Internship"/>
    <s v="D6532"/>
    <x v="4"/>
    <s v="3.21"/>
    <s v="80"/>
    <s v="Bina Nusantara University - School of Computer Science (Bandung)"/>
    <s v="IT Developer"/>
    <s v="6 Month(s)"/>
    <d v="2026-02-02T00:00:00"/>
    <s v="31/07/2026"/>
    <s v="Onsite"/>
    <s v="Not Yet Enrolled"/>
  </r>
  <r>
    <s v="BN124978306"/>
    <n v="2702260382"/>
    <x v="85"/>
    <s v="nathanael.susilo@binus.ac.id"/>
    <s v="+6285693019163"/>
    <s v="Company Internship"/>
    <s v="D6274"/>
    <x v="6"/>
    <s v="3.21"/>
    <s v="82"/>
    <s v="SILOAM HOSPITAL"/>
    <s v="Cyber Security Analysist"/>
    <s v="12 Month(s)"/>
    <d v="2026-02-02T00:00:00"/>
    <d v="2027-02-02T00:00:00"/>
    <s v="Onsite"/>
    <s v="Not Yet Enrolled"/>
  </r>
  <r>
    <s v="BN125012835"/>
    <n v="2702279621"/>
    <x v="86"/>
    <s v="monique.bagensa@binus.ac.id"/>
    <s v="+6285244380110"/>
    <s v="Research Fellowship"/>
    <s v="D6184"/>
    <x v="2"/>
    <s v="3.19"/>
    <s v="82"/>
    <s v="Mochammad Haldi Widianto, S.T., M.T."/>
    <s v="implementasi IoT di lingkungan kampus"/>
    <s v="6 Month(s)"/>
    <d v="2026-02-02T00:00:00"/>
    <d v="2026-02-08T00:00:00"/>
    <s v="WFO"/>
    <s v="Enrolled"/>
  </r>
  <r>
    <s v="BN124984145"/>
    <n v="2702262564"/>
    <x v="87"/>
    <s v="reynard.tjakrasendjaja@binus.ac.id"/>
    <s v="+628157072877"/>
    <s v="Company Internship"/>
    <s v="D6670"/>
    <x v="9"/>
    <s v="3.18"/>
    <s v="82"/>
    <s v="Bina Nusantara University - School of Computer Science (Bandung)"/>
    <s v="IT Developer"/>
    <s v="6 Month(s)"/>
    <d v="2026-02-02T00:00:00"/>
    <s v="31/07/2026"/>
    <s v="Onsite"/>
    <s v="Enrolled"/>
  </r>
  <r>
    <s v="BN124937155"/>
    <n v="2702230966"/>
    <x v="88"/>
    <s v="shirley.goenawan@binus.ac.id"/>
    <s v="085603015322"/>
    <s v="Company Internship"/>
    <s v="D7055"/>
    <x v="10"/>
    <s v="3.16"/>
    <s v="80"/>
    <s v="Bina Nusantara University - School of Computer Science (Bandung)"/>
    <s v="IT Developer"/>
    <s v="6 Month(s)"/>
    <d v="2026-02-02T00:00:00"/>
    <s v="31/07/2026"/>
    <s v="Onsite"/>
    <s v="Enrolled"/>
  </r>
  <r>
    <s v="BN125076914"/>
    <n v="2702314460"/>
    <x v="89"/>
    <s v="naufal.hidayat001@binus.ac.id"/>
    <s v="087817989205"/>
    <s v="Specific Independent Study"/>
    <s v="D5918"/>
    <x v="12"/>
    <s v="3.15"/>
    <s v="80"/>
    <s v="-"/>
    <s v="-"/>
    <s v="-"/>
    <s v="-"/>
    <s v="-"/>
    <s v="-"/>
    <s v="Not Yet Enrolled"/>
  </r>
  <r>
    <s v="BN125241986"/>
    <n v="2702379132"/>
    <x v="90"/>
    <s v="celina.sadilla@binus.ac.id"/>
    <s v="+6282284107389"/>
    <s v="Company Internship"/>
    <s v="D6408"/>
    <x v="3"/>
    <s v="3.15"/>
    <s v="82"/>
    <s v="Bina Nusantara University - School of Computer Science (Bandung)"/>
    <s v="IT Developer"/>
    <s v="6 Month(s)"/>
    <d v="2026-02-02T00:00:00"/>
    <s v="31/07/2026"/>
    <s v="Onsite"/>
    <s v="Enrolled"/>
  </r>
  <r>
    <s v="BN125220565"/>
    <n v="2702359793"/>
    <x v="91"/>
    <s v="franscelino.melvyn@binus.ac.id"/>
    <s v="+6281221434455"/>
    <s v="Company Internship"/>
    <s v="D6532"/>
    <x v="4"/>
    <s v="3.15"/>
    <s v="82"/>
    <s v="PT Saka Farma Laboratories (Kalbe Consumer Health)"/>
    <s v="Application Developer"/>
    <s v="12 Month(s)"/>
    <s v="02/02/2026"/>
    <s v="31/01/2027"/>
    <s v="Onsite"/>
    <s v="Not Yet Enrolled"/>
  </r>
  <r>
    <s v="BN125104230"/>
    <n v="2702332330"/>
    <x v="92"/>
    <s v="dwizga.firpha@binus.ac.id"/>
    <s v="081212728495"/>
    <s v="Company Internship"/>
    <s v="D6407"/>
    <x v="11"/>
    <s v="3.15"/>
    <s v="82"/>
    <s v="PUSTEKINFO SETJEN DPR RI"/>
    <s v="Data Scientist"/>
    <s v="12 Month(s)"/>
    <d v="2026-02-02T00:00:00"/>
    <s v="31/01/2027"/>
    <s v="Hybrid"/>
    <s v="Enrolled"/>
  </r>
  <r>
    <s v="BN124983943"/>
    <n v="2702262476"/>
    <x v="93"/>
    <s v="yosia.marpaung@binus.ac.id"/>
    <s v="+62811762245"/>
    <s v="Specific Independent Study"/>
    <s v="D5918"/>
    <x v="12"/>
    <s v="3.13"/>
    <s v="79"/>
    <s v="-"/>
    <s v="-"/>
    <s v="-"/>
    <s v="-"/>
    <s v="-"/>
    <s v="-"/>
    <s v="Not Yet Enrolled"/>
  </r>
  <r>
    <s v="BN125103726"/>
    <n v="2702331763"/>
    <x v="94"/>
    <s v="lavinia.novyandi@binus.ac.id"/>
    <s v="087787773918"/>
    <s v="Company Internship"/>
    <s v="D1749"/>
    <x v="8"/>
    <s v="3.13"/>
    <s v="78"/>
    <s v="PT. Cyberindo Aditama (CBN)"/>
    <s v="Front End Developer"/>
    <s v="12 Month(s)"/>
    <s v="02/02/2026"/>
    <s v="02/02/2027"/>
    <s v="Onsite"/>
    <s v="Not Yet Enrolled"/>
  </r>
  <r>
    <s v="BN124991945"/>
    <n v="2702267262"/>
    <x v="95"/>
    <s v="salma.shaumi@binus.ac.id"/>
    <s v="+6289637030593"/>
    <s v="Company Internship"/>
    <s v="D6532"/>
    <x v="4"/>
    <s v="3.12"/>
    <s v="82"/>
    <s v="Bina Nusantara University - School of Computer Science (Bandung)"/>
    <s v="IT Developer"/>
    <s v="6 Month(s)"/>
    <d v="2026-02-02T00:00:00"/>
    <s v="31/07/2026"/>
    <s v="Onsite"/>
    <s v="Enrolled"/>
  </r>
  <r>
    <s v="BN124938095"/>
    <n v="2702231861"/>
    <x v="96"/>
    <s v="gilmore@binus.ac.id"/>
    <s v="+628978802497"/>
    <s v="Company Internship"/>
    <s v="D6274"/>
    <x v="6"/>
    <s v="3.12"/>
    <s v="82"/>
    <s v="PT Azentra Solusi Digital"/>
    <s v="Data Scientist"/>
    <s v="12 Month(s)"/>
    <d v="2026-02-02T00:00:00"/>
    <s v="31/01/2027"/>
    <s v="Hybrid"/>
    <s v="Enrolled"/>
  </r>
  <r>
    <s v="BN125015616"/>
    <n v="2702280421"/>
    <x v="97"/>
    <s v="joevan.yohansha@binus.ac.id"/>
    <s v="+628112221766"/>
    <s v="Specific Independent Study"/>
    <s v="D7187"/>
    <x v="14"/>
    <s v="3.11"/>
    <s v="82"/>
    <s v="-"/>
    <s v="-"/>
    <s v="-"/>
    <s v="-"/>
    <s v="-"/>
    <s v="-"/>
    <s v="Not Yet Enrolled"/>
  </r>
  <r>
    <s v="BN125039105"/>
    <n v="2702300234"/>
    <x v="98"/>
    <s v="darrel.immanuel@binus.ac.id"/>
    <s v="+6281398834342"/>
    <s v="Company Internship"/>
    <s v="D6532"/>
    <x v="4"/>
    <s v="3.11"/>
    <s v="80"/>
    <s v="Bina Nusantara University - School of Computer Science (Bandung)"/>
    <s v="IT Developer"/>
    <s v="6 Month(s)"/>
    <d v="2026-02-02T00:00:00"/>
    <s v="31/07/2026"/>
    <s v="Onsite"/>
    <s v="Not Yet Enrolled"/>
  </r>
  <r>
    <s v="BN125141756"/>
    <n v="2702343776"/>
    <x v="99"/>
    <s v="dharma.sugianto@binus.ac.id"/>
    <s v="082139864433"/>
    <s v="Company Internship"/>
    <s v="D6670"/>
    <x v="9"/>
    <s v="3.11"/>
    <s v="80"/>
    <s v="Bina Nusantara University - School of Computer Science (Bandung)"/>
    <s v="IT Developer"/>
    <s v="6 Month(s)"/>
    <d v="2026-02-02T00:00:00"/>
    <s v="31/07/2026"/>
    <s v="Onsite"/>
    <s v="Not Yet Enrolled"/>
  </r>
  <r>
    <s v="BN124997690"/>
    <n v="2702272193"/>
    <x v="100"/>
    <s v="rizki.purnama001@binus.ac.id"/>
    <s v="+6281774181548"/>
    <s v="Specific Independent Study"/>
    <s v="D5918"/>
    <x v="12"/>
    <s v="3.10"/>
    <s v="82"/>
    <s v="-"/>
    <s v="-"/>
    <s v="-"/>
    <s v="-"/>
    <s v="-"/>
    <s v="-"/>
    <s v="Not Yet Enrolled"/>
  </r>
  <r>
    <s v="BN124934222"/>
    <n v="2702228141"/>
    <x v="101"/>
    <s v="darryl.delvin@binus.ac.id"/>
    <s v="+628112313959"/>
    <s v="Specific Independent Study"/>
    <s v="D7055"/>
    <x v="10"/>
    <s v="3.09"/>
    <s v="82"/>
    <s v="-"/>
    <s v="-"/>
    <s v="-"/>
    <s v="-"/>
    <s v="-"/>
    <s v="-"/>
    <s v="Not Yet Enrolled"/>
  </r>
  <r>
    <s v="1280093942"/>
    <n v="2702231981"/>
    <x v="102"/>
    <s v="katrin.manalu@binus.ac.id"/>
    <s v="+6282128081923"/>
    <s v="Specific Independent Study"/>
    <s v="D7187"/>
    <x v="14"/>
    <s v="3.09"/>
    <s v="80"/>
    <s v="-"/>
    <s v="-"/>
    <s v="-"/>
    <s v="-"/>
    <s v="-"/>
    <s v="-"/>
    <s v="Not Yet Enrolled"/>
  </r>
  <r>
    <s v="BN123460925"/>
    <n v="2702232984"/>
    <x v="103"/>
    <s v="erwin.rommel@binus.ac.id"/>
    <s v="087817018898"/>
    <s v="Company Internship"/>
    <s v="D6670"/>
    <x v="9"/>
    <s v="3.09"/>
    <s v="82"/>
    <s v="Bina Nusantara University - School of Computer Science (Bandung)"/>
    <s v="IT Developer"/>
    <s v="6 Month(s)"/>
    <d v="2026-02-02T00:00:00"/>
    <s v="31/07/2026"/>
    <s v="Onsite"/>
    <s v="Enrolled"/>
  </r>
  <r>
    <s v="BN125243871"/>
    <n v="2702380891"/>
    <x v="104"/>
    <s v="muhammad.kusumah001@binus.ac.id"/>
    <s v="+6281220499074"/>
    <s v="Company Internship"/>
    <s v="D6274"/>
    <x v="6"/>
    <s v="3.09"/>
    <s v="80"/>
    <s v="PT. Indonesia Global Solusindo"/>
    <s v="Technical Consultant"/>
    <s v="12 Month(s)"/>
    <s v="09/02/2026"/>
    <s v="31/01/2027"/>
    <s v="Onsite"/>
    <s v="Not Yet Enrolled"/>
  </r>
  <r>
    <s v="BN125089690"/>
    <n v="2702321352"/>
    <x v="105"/>
    <s v="abrams.nuswanto@binus.ac.id"/>
    <s v="+6285314557267"/>
    <s v="Specific Independent Study"/>
    <s v="D7055"/>
    <x v="10"/>
    <s v="3.08"/>
    <s v="80"/>
    <s v="-"/>
    <s v="-"/>
    <s v="-"/>
    <s v="-"/>
    <s v="-"/>
    <s v="-"/>
    <s v="Not Yet Enrolled"/>
  </r>
  <r>
    <s v="BN125215855"/>
    <n v="2702358134"/>
    <x v="106"/>
    <s v="ryan.dwihandoyo@binus.ac.id"/>
    <s v="081224225907"/>
    <s v="Company Internship"/>
    <s v="D6274"/>
    <x v="6"/>
    <s v="3.08"/>
    <s v="80"/>
    <s v="PT. Xtremex Digital LTD"/>
    <s v="Development and Operations (DevOps) Engineer"/>
    <s v="12 Month(s)"/>
    <d v="2026-02-02T00:00:00"/>
    <d v="2027-02-02T00:00:00"/>
    <s v="Virtual"/>
    <s v="Enrolled"/>
  </r>
  <r>
    <s v="BN124933964"/>
    <n v="2702227864"/>
    <x v="107"/>
    <s v="benediktus.unamo@binus.ac.id"/>
    <s v="+6281312743029"/>
    <s v="Specific Independent Study"/>
    <s v="D7055"/>
    <x v="10"/>
    <s v="3.07"/>
    <s v="82"/>
    <s v="-"/>
    <s v="-"/>
    <s v="-"/>
    <s v="-"/>
    <s v="-"/>
    <s v="-"/>
    <s v="Not Yet Enrolled"/>
  </r>
  <r>
    <s v="BN125215905"/>
    <n v="2702358191"/>
    <x v="108"/>
    <s v="garreth.utomo@binus.ac.id"/>
    <s v="+6282295630271"/>
    <s v="Specific Independent Study"/>
    <s v="D7055"/>
    <x v="10"/>
    <s v="3.07"/>
    <s v="80"/>
    <s v="-"/>
    <s v="-"/>
    <s v="-"/>
    <s v="-"/>
    <s v="-"/>
    <s v="-"/>
    <s v="Not Yet Enrolled"/>
  </r>
  <r>
    <s v="BN124940194"/>
    <n v="2702236055"/>
    <x v="109"/>
    <s v="jonathan.christian007@binus.ac.id"/>
    <s v="+6285179778565"/>
    <s v="Specific Independent Study"/>
    <s v="D7187"/>
    <x v="14"/>
    <s v="3.05"/>
    <s v="82"/>
    <s v="-"/>
    <s v="-"/>
    <s v="-"/>
    <s v="-"/>
    <s v="-"/>
    <s v="-"/>
    <s v="Enrolled"/>
  </r>
  <r>
    <s v="BN124934954"/>
    <n v="2702228886"/>
    <x v="110"/>
    <s v="matthew.hiutama@binus.ac.id"/>
    <s v="089520802888"/>
    <s v="Company Internship"/>
    <s v="D6407"/>
    <x v="11"/>
    <s v="3.05"/>
    <s v="82"/>
    <s v="PT Tera Multi Wahana"/>
    <s v="Application Developer"/>
    <s v="12 Month(s)"/>
    <d v="2026-02-02T00:00:00"/>
    <d v="2027-01-02T00:00:00"/>
    <s v="Hybrid"/>
    <s v="Not Yet Enrolled"/>
  </r>
  <r>
    <s v="BN124940194"/>
    <n v="2702233785"/>
    <x v="109"/>
    <s v="jonathan.christian007@binus.ac.id"/>
    <s v="+6285179778565"/>
    <s v="Company Internship"/>
    <s v="D6836"/>
    <x v="0"/>
    <s v="3.05"/>
    <s v="82"/>
    <s v="PT. Bank Central Asia, Tbk"/>
    <s v="Application Developer"/>
    <s v="12 Month(s)"/>
    <s v="02/02/2026"/>
    <s v="31/01/2027"/>
    <s v="Onsite"/>
    <s v="Enrolled"/>
  </r>
  <r>
    <s v="BN124928503"/>
    <n v="2702224162"/>
    <x v="111"/>
    <s v="marvin.wijaya@binus.ac.id"/>
    <s v="+6282121379197"/>
    <s v="Specific Independent Study"/>
    <s v="D7187"/>
    <x v="14"/>
    <s v="3.03"/>
    <s v="82"/>
    <s v="-"/>
    <s v="-"/>
    <s v="-"/>
    <s v="-"/>
    <s v="-"/>
    <s v="-"/>
    <s v="Not Yet Enrolled"/>
  </r>
  <r>
    <s v="BN124962945"/>
    <n v="2702249316"/>
    <x v="112"/>
    <s v="delon.sunarto@binus.ac.id"/>
    <s v="+6282124346026"/>
    <s v="Company Internship"/>
    <s v="D6826"/>
    <x v="5"/>
    <s v="3.02"/>
    <s v="82"/>
    <s v="KodeKiddo"/>
    <s v="Coding Instructor"/>
    <s v="12 Month(s)"/>
    <d v="2026-02-02T00:00:00"/>
    <s v="31/01/2027"/>
    <s v="Onsite"/>
    <s v="Enrolled"/>
  </r>
  <r>
    <s v="BN124989940"/>
    <n v="2702265742"/>
    <x v="113"/>
    <s v="arvonsus.ligouri@binus.ac.id"/>
    <s v="+6285940771722"/>
    <s v="Company Internship"/>
    <s v="D6274"/>
    <x v="6"/>
    <s v="3.02"/>
    <s v="80"/>
    <s v="PT. Mega Komposit Indonesia"/>
    <s v="Web Developer"/>
    <s v="12 Month(s)"/>
    <d v="2026-12-02T00:00:00"/>
    <d v="2027-12-02T00:00:00"/>
    <s v="Onsite"/>
    <s v="Enrolled"/>
  </r>
  <r>
    <s v="BN125248733"/>
    <n v="2702385671"/>
    <x v="114"/>
    <s v="candra.hidayattuloh@binus.ac.id"/>
    <s v="+6281316601433"/>
    <s v="Company Internship"/>
    <s v="D6407"/>
    <x v="11"/>
    <s v="3.01"/>
    <s v="80"/>
    <s v="Bina Nusantara University - School of Computer Science (Bandung)"/>
    <s v="IT Developer"/>
    <s v="6 Month(s)"/>
    <d v="2026-02-02T00:00:00"/>
    <s v="31/07/2026"/>
    <s v="Onsite"/>
    <s v="Enrolled"/>
  </r>
  <r>
    <s v="BN124983855"/>
    <n v="2702262394"/>
    <x v="115"/>
    <s v="gabrielle.suhalim@binus.ac.id"/>
    <s v="+6281297173711"/>
    <s v="Company Internship"/>
    <s v="D6469"/>
    <x v="7"/>
    <s v="3.01"/>
    <s v="82"/>
    <s v="Bina Nusantara University - School of Computer Science (Bandung)"/>
    <s v="IT Developer"/>
    <s v="6 Month(s)"/>
    <d v="2026-02-02T00:00:00"/>
    <s v="31/07/2026"/>
    <s v="Onsite"/>
    <s v="Not Yet Enrolled"/>
  </r>
  <r>
    <s v="BN124938990"/>
    <n v="2702232675"/>
    <x v="116"/>
    <s v="rueben.ismail@binus.ac.id"/>
    <s v="+62817165003"/>
    <s v="Company Internship"/>
    <s v="D6826"/>
    <x v="5"/>
    <s v="3.00"/>
    <s v="82"/>
    <s v="PT. Indomobil Sukses Internasional"/>
    <s v="System Engineer"/>
    <s v="12 Month(s)"/>
    <d v="2026-02-02T00:00:00"/>
    <s v="31/01/2027"/>
    <s v="Onsite"/>
    <s v="Enrolled"/>
  </r>
  <r>
    <s v="BN124937325"/>
    <n v="2702231104"/>
    <x v="117"/>
    <s v="ashabul.almufaiz@binus.ac.id"/>
    <s v="+6281288644314"/>
    <s v="Specific Independent Study"/>
    <s v="D7055"/>
    <x v="10"/>
    <s v="2.99"/>
    <s v="80"/>
    <s v="-"/>
    <s v="-"/>
    <s v="-"/>
    <s v="-"/>
    <s v="-"/>
    <s v="-"/>
    <s v="Not Yet Enrolled"/>
  </r>
  <r>
    <s v="BN125013996"/>
    <n v="2702279956"/>
    <x v="118"/>
    <s v="vincent.koo@binus.ac.id"/>
    <s v="+6285157719040"/>
    <s v="Company Internship"/>
    <s v="D6469"/>
    <x v="7"/>
    <s v="2.99"/>
    <s v="82"/>
    <s v="Bina Nusantara University - School of Computer Science (Bandung)"/>
    <s v="IT Developer"/>
    <s v="6 Month(s)"/>
    <d v="2026-02-02T00:00:00"/>
    <s v="31/07/2026"/>
    <s v="Onsite"/>
    <s v="Enrolled"/>
  </r>
  <r>
    <s v="BN125018662"/>
    <n v="2702282540"/>
    <x v="119"/>
    <s v="princen.kurniawan@binus.ac.id"/>
    <s v="+6282318416115"/>
    <s v="Company Internship"/>
    <s v="D6407"/>
    <x v="11"/>
    <s v="2.98"/>
    <s v="82"/>
    <s v="Bina Nusantara University - School of Computer Science (Bandung)"/>
    <s v="IT Developer"/>
    <s v="6 Month(s)"/>
    <d v="2026-02-02T00:00:00"/>
    <s v="31/07/2026"/>
    <s v="Onsite"/>
    <s v="Not Yet Enrolled"/>
  </r>
  <r>
    <s v="BN124953096"/>
    <n v="2702243174"/>
    <x v="120"/>
    <s v="stanley.darmawan@binus.ac.id"/>
    <s v="+6281284200196"/>
    <s v="Company Internship"/>
    <s v="D6826"/>
    <x v="5"/>
    <s v="2.98"/>
    <s v="80"/>
    <s v="PT. Exorty Indonesia"/>
    <s v="Software Engineer"/>
    <s v="12 Month(s)"/>
    <d v="2026-02-02T00:00:00"/>
    <s v="31/01/2027"/>
    <s v="Onsite"/>
    <s v="Enrolled"/>
  </r>
  <r>
    <s v="BN125223062"/>
    <n v="2702361545"/>
    <x v="121"/>
    <s v="muhamad.ichson@binus.ac.id"/>
    <s v="+6282251745890"/>
    <s v="Company Internship"/>
    <s v="D6408"/>
    <x v="3"/>
    <s v="2.96"/>
    <s v="76"/>
    <s v="PT. Superintending Company of Indonesia ( SUCOFINDO ) "/>
    <s v="IT Support"/>
    <s v="12 Month(s)"/>
    <d v="2026-02-02T00:00:00"/>
    <s v="31/01/2027"/>
    <s v="Onsite"/>
    <s v="Not Yet Enrolled"/>
  </r>
  <r>
    <s v="BN124939854"/>
    <n v="2702233532"/>
    <x v="122"/>
    <s v="desca.krisnanta@binus.ac.id"/>
    <s v="+6281317881344"/>
    <s v="Research Fellowship"/>
    <s v="D6184"/>
    <x v="2"/>
    <s v="2.95"/>
    <s v="82"/>
    <s v="Mochammad Haldi Widianto, S.T., M.T."/>
    <s v="implementasi IoT di lingkungan universitas"/>
    <s v="6 Month(s)"/>
    <d v="2026-02-02T00:00:00"/>
    <d v="2026-02-08T00:00:00"/>
    <s v="WFO"/>
    <s v="Enrolled"/>
  </r>
  <r>
    <s v="BN124943731"/>
    <n v="2702236111"/>
    <x v="123"/>
    <s v="jessica.chandra001@binus.ac.id"/>
    <s v="+628154011888"/>
    <s v="Company Internship"/>
    <s v="D6826"/>
    <x v="5"/>
    <s v="2.95"/>
    <s v="82"/>
    <s v="PT Periksa Solusi Indonesia"/>
    <s v="Back End Developer"/>
    <s v="12 Month(s)"/>
    <d v="2026-02-02T00:00:00"/>
    <s v="31/01/2027"/>
    <s v="Hybrid"/>
    <s v="Enrolled"/>
  </r>
  <r>
    <s v="BN124910361"/>
    <n v="2602208750"/>
    <x v="124"/>
    <s v="wan.rinaldi@binus.ac.id"/>
    <s v="081932696900"/>
    <s v="Company Internship"/>
    <s v="D6826"/>
    <x v="5"/>
    <s v="2.95"/>
    <s v="82"/>
    <s v="Rusters Bali"/>
    <s v="Web Developer"/>
    <s v="12 Month(s)"/>
    <d v="2026-12-02T00:00:00"/>
    <d v="2027-12-02T00:00:00"/>
    <s v="Hybrid"/>
    <s v="Not Yet Enrolled"/>
  </r>
  <r>
    <s v="BN125223636"/>
    <n v="2702361961"/>
    <x v="125"/>
    <s v="chaldarren.wijaya@binus.ac.id"/>
    <s v="+6285161351588"/>
    <s v="Specific Independent Study"/>
    <s v="D7055"/>
    <x v="10"/>
    <s v="2.93"/>
    <s v="80"/>
    <s v="-"/>
    <s v="-"/>
    <s v="-"/>
    <s v="-"/>
    <s v="-"/>
    <s v="-"/>
    <s v="Not Yet Enrolled"/>
  </r>
  <r>
    <s v="BN124941953"/>
    <n v="2702235046"/>
    <x v="126"/>
    <s v="rafi.sudrajat@binus.ac.id"/>
    <s v="+6285973956676"/>
    <s v="Specific Independent Study"/>
    <s v="D5918"/>
    <x v="12"/>
    <s v="2.93"/>
    <s v="80"/>
    <s v="-"/>
    <s v="-"/>
    <s v="-"/>
    <s v="-"/>
    <s v="-"/>
    <s v="-"/>
    <s v="Not Yet Enrolled"/>
  </r>
  <r>
    <s v="BN125241992"/>
    <n v="2702379145"/>
    <x v="127"/>
    <s v="zacky.firhansyah@binus.ac.id"/>
    <s v="+6281220708594"/>
    <s v="Specific Independent Study"/>
    <s v="D5918"/>
    <x v="12"/>
    <s v="2.90"/>
    <s v="80"/>
    <s v="-"/>
    <s v="-"/>
    <s v="-"/>
    <s v="-"/>
    <s v="-"/>
    <s v="-"/>
    <s v="Not Yet Enrolled"/>
  </r>
  <r>
    <s v="BN125093504"/>
    <n v="2702324253"/>
    <x v="128"/>
    <s v="djuhar.manik@binus.ac.id"/>
    <s v="+6282114183775"/>
    <s v="Specific Independent Study"/>
    <s v="D7055"/>
    <x v="10"/>
    <s v="2.89"/>
    <s v="80"/>
    <s v="Bina Nusantara University"/>
    <s v="Analytics and Visualization for Supply Chain Management"/>
    <s v="5 Month(s)"/>
    <d v="2026-01-03T00:00:00"/>
    <s v="31/07/2026"/>
    <s v="-"/>
    <s v="Enrolled"/>
  </r>
  <r>
    <s v="BN124991863"/>
    <n v="2702267174"/>
    <x v="129"/>
    <s v="chris.bernard@binus.ac.id"/>
    <s v="085156234813"/>
    <s v="Company Internship"/>
    <s v="D6826"/>
    <x v="5"/>
    <s v="2.87"/>
    <s v="82"/>
    <s v="Pt Kumedia Sukses Abadi"/>
    <s v="Web Developer"/>
    <s v="12 Month(s)"/>
    <d v="2026-10-02T00:00:00"/>
    <d v="2027-10-02T00:00:00"/>
    <s v="Onsite"/>
    <s v="Not Yet Enrolled"/>
  </r>
  <r>
    <s v="BN125048904"/>
    <n v="2702304592"/>
    <x v="130"/>
    <s v="albany.siswanto@binus.ac.id"/>
    <s v="082123619926"/>
    <s v="Specific Independent Study"/>
    <s v="D7055"/>
    <x v="10"/>
    <s v="2.86"/>
    <s v="80"/>
    <s v="-"/>
    <s v="-"/>
    <s v="-"/>
    <s v="-"/>
    <s v="-"/>
    <s v="-"/>
    <s v="Not Yet Enrolled"/>
  </r>
  <r>
    <s v="BN125061761"/>
    <n v="2702309403"/>
    <x v="131"/>
    <s v="darren.medhik@binus.ac.id"/>
    <s v="+6281221541018"/>
    <s v="Company Internship"/>
    <s v="D6532"/>
    <x v="4"/>
    <s v="2.86"/>
    <s v="82"/>
    <s v="Bina Nusantara University - School of Computer Science (Bandung)"/>
    <s v="IT Developer"/>
    <s v="6 Month(s)"/>
    <d v="2026-02-02T00:00:00"/>
    <s v="31/07/2026"/>
    <s v="Onsite"/>
    <s v="Enrolled"/>
  </r>
  <r>
    <s v="BN124978104"/>
    <n v="2702260155"/>
    <x v="132"/>
    <s v="rio.ferdinand001@binus.ac.id"/>
    <s v="08996810044"/>
    <s v="Specific Independent Study"/>
    <s v="D5918"/>
    <x v="12"/>
    <s v="2.84"/>
    <s v="78"/>
    <s v="-"/>
    <s v="-"/>
    <s v="-"/>
    <s v="-"/>
    <s v="-"/>
    <s v="-"/>
    <s v="Not Yet Enrolled"/>
  </r>
  <r>
    <s v="BN125275141"/>
    <n v="2702409854"/>
    <x v="133"/>
    <s v="rizky.hafiyyan@binus.ac.id"/>
    <s v="+6281285215985"/>
    <s v="Company Internship"/>
    <s v="D6274"/>
    <x v="6"/>
    <s v="2.81"/>
    <s v="78"/>
    <s v="Rumah Sakit BSH Bogor"/>
    <s v="IT Support"/>
    <s v="12 Month(s)"/>
    <d v="2026-09-02T00:00:00"/>
    <d v="2027-08-02T00:00:00"/>
    <s v="Onsite"/>
    <s v="Not Yet Enrolled"/>
  </r>
  <r>
    <s v="BN125061805"/>
    <n v="2702309441"/>
    <x v="134"/>
    <s v="jason.yoswara@binus.ac.id"/>
    <s v="+62818959099"/>
    <s v="Research Fellowship"/>
    <s v="D6184"/>
    <x v="2"/>
    <s v="2.80"/>
    <s v="82"/>
    <s v="Mochammad Haldi Widianto, S.T., M.T."/>
    <s v="implementasi IoT di lingkungan sekolah"/>
    <s v="6 Month(s)"/>
    <d v="2026-02-02T00:00:00"/>
    <d v="2026-02-08T00:00:00"/>
    <s v="WFO"/>
    <s v="Enrolled"/>
  </r>
  <r>
    <s v="BN124983905"/>
    <n v="2702262444"/>
    <x v="135"/>
    <s v="sean.philip001@binus.ac.id"/>
    <s v="+6282117708848"/>
    <s v="Company Internship"/>
    <s v="D1749"/>
    <x v="8"/>
    <s v="2.80"/>
    <s v="76"/>
    <s v="PT. IP Network Solusindo"/>
    <s v="IT Developer"/>
    <s v="12 Month(s)"/>
    <d v="2026-02-02T00:00:00"/>
    <s v="28/02/2027"/>
    <s v="Onsite"/>
    <s v="Enrolled"/>
  </r>
  <r>
    <s v="BN125223693"/>
    <n v="2702362024"/>
    <x v="136"/>
    <s v="m.mahzuza@binus.ac.id"/>
    <s v="+6285156335752"/>
    <s v="Specific Independent Study"/>
    <s v="D7187"/>
    <x v="14"/>
    <s v="2.77"/>
    <s v="82"/>
    <s v="-"/>
    <s v="-"/>
    <s v="-"/>
    <s v="-"/>
    <s v="-"/>
    <s v="-"/>
    <s v="Not Yet Enrolled"/>
  </r>
  <r>
    <s v="BN124934084"/>
    <n v="2702227984"/>
    <x v="137"/>
    <s v="wijaya.suteja@binus.ac.id"/>
    <s v="081223837291"/>
    <s v="Research Fellowship"/>
    <s v="D6184"/>
    <x v="2"/>
    <s v="2.77"/>
    <s v="80"/>
    <s v="Mochammad Haldi Widianto, S.T., M.T."/>
    <s v="implementasi IoT di lingkungan sekolah"/>
    <s v="12 Month(s)"/>
    <d v="2026-02-02T00:00:00"/>
    <d v="2027-02-02T00:00:00"/>
    <s v="WFO"/>
    <s v="Enrolled"/>
  </r>
  <r>
    <s v="BN125002632"/>
    <n v="2702275604"/>
    <x v="138"/>
    <s v="nisa.hanif@binus.ac.id"/>
    <s v="+6282112339961"/>
    <s v="Specific Independent Study"/>
    <s v="D6532"/>
    <x v="4"/>
    <s v="2.75"/>
    <s v="80"/>
    <s v="-"/>
    <s v="-"/>
    <s v="-"/>
    <s v="-"/>
    <s v="-"/>
    <s v="-"/>
    <s v="Not Yet Enrolled"/>
  </r>
  <r>
    <s v="BN124983893"/>
    <n v="2702262431"/>
    <x v="139"/>
    <s v="muhammad.ferlanda@binus.ac.id"/>
    <s v="+6281380005915"/>
    <s v="Specific Independent Study"/>
    <s v="D7187"/>
    <x v="14"/>
    <s v="2.71"/>
    <s v="78"/>
    <s v="-"/>
    <s v="-"/>
    <s v="-"/>
    <s v="-"/>
    <s v="-"/>
    <s v="-"/>
    <s v="Not Yet Enrolled"/>
  </r>
  <r>
    <s v="BN124815510"/>
    <n v="2702224175"/>
    <x v="140"/>
    <s v="reginald.lipri@binus.ac.id"/>
    <s v="+6287788834188"/>
    <s v="Specific Independent Study"/>
    <s v="D5918"/>
    <x v="12"/>
    <s v="2.71"/>
    <s v="78"/>
    <s v="-"/>
    <s v="-"/>
    <s v="-"/>
    <s v="-"/>
    <s v="-"/>
    <s v="-"/>
    <s v="Not Yet Enrolled"/>
  </r>
  <r>
    <s v="BN125002456"/>
    <n v="2702275371"/>
    <x v="141"/>
    <s v="vincent.devano@binus.ac.id"/>
    <s v="087722673611"/>
    <s v="Study Abroad"/>
    <m/>
    <x v="13"/>
    <s v="2.71"/>
    <s v="80"/>
    <s v="Dong-A University"/>
    <s v="Study Abroad Student"/>
    <s v="-"/>
    <s v="16/02/2026"/>
    <s v="18/07/2026"/>
    <s v="-"/>
    <s v="Not Yet Enrolled"/>
  </r>
  <r>
    <s v="BN124997785"/>
    <n v="2702272281"/>
    <x v="142"/>
    <s v="raden.deyantoro@binus.ac.id"/>
    <s v="+6281381589909"/>
    <s v="Company Internship"/>
    <s v="D6407"/>
    <x v="11"/>
    <s v="2.70"/>
    <s v="82"/>
    <s v="Dinas Komunikasi dan Informatika Kota Bandung"/>
    <s v="Web Developer"/>
    <s v="12 Month(s)"/>
    <d v="2026-02-02T00:00:00"/>
    <s v="31/01/2027"/>
    <s v="Onsite"/>
    <s v="Enrolled"/>
  </r>
  <r>
    <s v="BN125088536"/>
    <n v="2702320305"/>
    <x v="143"/>
    <s v="muhamad.heryana@binus.ac.id"/>
    <s v="+6282320567037"/>
    <s v="Research Fellowship"/>
    <s v="D6184"/>
    <x v="2"/>
    <s v="2.70"/>
    <s v="82"/>
    <s v="Mochammad Haldi Widianto, S.T., M.T."/>
    <s v="implementasi IoT di lingkungan sekolah"/>
    <s v="6 Month(s)"/>
    <d v="2026-02-02T00:00:00"/>
    <d v="2026-02-08T00:00:00"/>
    <s v="WFO"/>
    <s v="Enrolled"/>
  </r>
  <r>
    <s v="BN124947484"/>
    <n v="2702239725"/>
    <x v="144"/>
    <s v="micko.stefanus@binus.ac.id"/>
    <s v="+6287722072997"/>
    <s v="Company Internship"/>
    <s v="D6407"/>
    <x v="11"/>
    <s v="2.70"/>
    <s v="82"/>
    <s v="PT Len"/>
    <s v="IT Support"/>
    <s v="12 Month(s)"/>
    <d v="2026-02-02T00:00:00"/>
    <d v="2027-02-02T00:00:00"/>
    <s v="Onsite"/>
    <s v="Enrolled"/>
  </r>
  <r>
    <s v="BN125153453"/>
    <n v="2702345011"/>
    <x v="145"/>
    <s v="fakhri.dwiputra@binus.ac.id"/>
    <s v="+6289628862600"/>
    <s v="Specific Independent Study"/>
    <s v="D7055"/>
    <x v="10"/>
    <s v="2.68"/>
    <s v="75"/>
    <s v="-"/>
    <s v="-"/>
    <s v="-"/>
    <s v="-"/>
    <s v="-"/>
    <s v="-"/>
    <s v="Not Yet Enrolled"/>
  </r>
  <r>
    <s v="BN124938113"/>
    <n v="2702231893"/>
    <x v="146"/>
    <s v="jelvinlon.brilliando@binus.ac.id"/>
    <s v="+6282134233544"/>
    <s v="Company Internship"/>
    <s v="D6670"/>
    <x v="9"/>
    <s v="2.67"/>
    <s v="80"/>
    <s v="Bina Nusantara University - School of Computer Science (Bandung)"/>
    <s v="IT Developer"/>
    <s v="6 Month(s)"/>
    <d v="2026-02-02T00:00:00"/>
    <s v="31/07/2026"/>
    <s v="Onsite"/>
    <s v="Not Yet Enrolled"/>
  </r>
  <r>
    <s v="BN124934115"/>
    <n v="2702228021"/>
    <x v="147"/>
    <s v="ignacio.naidy@binus.ac.id"/>
    <s v="087824015600"/>
    <s v="Specific Independent Study"/>
    <s v="D7055"/>
    <x v="10"/>
    <s v="2.66"/>
    <s v="80"/>
    <s v="-"/>
    <s v="-"/>
    <s v="-"/>
    <s v="-"/>
    <s v="-"/>
    <s v="-"/>
    <s v="Not Yet Enrolled"/>
  </r>
  <r>
    <s v="BN124997412"/>
    <n v="2702271915"/>
    <x v="148"/>
    <s v="sabila.refina@binus.ac.id"/>
    <s v="081572386076"/>
    <s v="Company Internship"/>
    <s v="D6826"/>
    <x v="5"/>
    <s v="2.66"/>
    <s v="76"/>
    <s v="Starlab Indonesia"/>
    <s v="Coding Instructor"/>
    <s v="12 Month(s)"/>
    <d v="2026-02-02T00:00:00"/>
    <s v="31/01/2027"/>
    <s v="Onsite"/>
    <s v="Not Yet Enrolled"/>
  </r>
  <r>
    <s v="BN124984214"/>
    <n v="2702262620"/>
    <x v="149"/>
    <s v="rizky.ramadhan009@binus.ac.id"/>
    <s v="+6281394604668"/>
    <s v="Community Impact Internship"/>
    <s v="D6469"/>
    <x v="7"/>
    <s v="2.64"/>
    <s v="82"/>
    <s v="Yayasan Plastic Guardian Indonesia"/>
    <s v="IT Support"/>
    <s v="6 Month(s)"/>
    <d v="2026-02-02T00:00:00"/>
    <d v="2026-02-08T00:00:00"/>
    <s v="WFO Shifting"/>
    <s v="Not Yet Enrolled"/>
  </r>
  <r>
    <s v="BN125242263"/>
    <n v="2702379473"/>
    <x v="150"/>
    <s v="nadila.putri001@binus.ac.id"/>
    <s v="+6282294714175"/>
    <s v="Specific Independent Study"/>
    <s v="D7187"/>
    <x v="14"/>
    <s v="2.62"/>
    <s v="80"/>
    <s v="-"/>
    <s v="-"/>
    <s v="-"/>
    <s v="-"/>
    <s v="-"/>
    <s v="-"/>
    <s v="Not Yet Enrolled"/>
  </r>
  <r>
    <s v="BN125019513"/>
    <n v="2702283171"/>
    <x v="151"/>
    <s v="yansen.kangara@binus.ac.id"/>
    <s v="+6288267019055"/>
    <s v="Specific Independent Study"/>
    <s v="D6532"/>
    <x v="4"/>
    <s v="2.62"/>
    <s v="73"/>
    <s v="-"/>
    <s v="-"/>
    <s v="-"/>
    <s v="-"/>
    <s v="-"/>
    <s v="-"/>
    <s v="Not Yet Enrolled"/>
  </r>
  <r>
    <s v="BN124985583"/>
    <n v="2702262816"/>
    <x v="152"/>
    <s v="marcellus.florenta@binus.ac.id"/>
    <s v="+6289652337901"/>
    <s v="Company Internship"/>
    <s v="D6469"/>
    <x v="7"/>
    <s v="2.61"/>
    <s v="80"/>
    <s v="Bina Nusantara University - School of Computer Science (Bandung)"/>
    <s v="IT Developer"/>
    <s v="6 Month(s)"/>
    <d v="2026-02-02T00:00:00"/>
    <s v="31/07/2026"/>
    <s v="Onsite"/>
    <s v="Not Yet Enrolled"/>
  </r>
  <r>
    <s v="BN124408476"/>
    <n v="2502006133"/>
    <x v="153"/>
    <s v="ayasha.amaranti@binus.ac.id"/>
    <s v="+6281224955725"/>
    <s v="Company Internship"/>
    <s v="D2211"/>
    <x v="1"/>
    <s v="2.58"/>
    <s v="63"/>
    <s v="Bina Nusantara University - School of Computer Science (Bandung)"/>
    <s v="IT Developer"/>
    <s v="6 Month(s)"/>
    <d v="2026-02-02T00:00:00"/>
    <s v="31/07/2026"/>
    <s v="Onsite"/>
    <s v="Enrolled"/>
  </r>
  <r>
    <s v="BN124908514"/>
    <n v="2602207483"/>
    <x v="154"/>
    <s v="fazl.santoso@binus.ac.id"/>
    <s v="+6282118750335"/>
    <s v="Company Internship"/>
    <s v="D6670"/>
    <x v="9"/>
    <s v="2.55"/>
    <s v="61"/>
    <s v="Bina Nusantara University - School of Computer Science (Bandung)"/>
    <s v="IT Developer"/>
    <s v="6 Month(s)"/>
    <d v="2026-02-02T00:00:00"/>
    <s v="31/07/2026"/>
    <s v="Onsite"/>
    <s v="Not Yet Enrolled"/>
  </r>
  <r>
    <s v="BN125014443"/>
    <n v="2702280301"/>
    <x v="155"/>
    <s v="luthfi.ananta@binus.ac.id"/>
    <s v="+6289510580997"/>
    <s v="Specific Independent Study"/>
    <s v="D7187"/>
    <x v="14"/>
    <s v="2.54"/>
    <s v="78"/>
    <s v="-"/>
    <s v="-"/>
    <s v="-"/>
    <s v="-"/>
    <s v="-"/>
    <s v="-"/>
    <s v="Not Yet Enrolled"/>
  </r>
  <r>
    <s v="BN124962913"/>
    <n v="2702249272"/>
    <x v="156"/>
    <s v="bhimo.nurrahman@binus.ac.id"/>
    <s v="+6281522933337"/>
    <s v="Company Internship"/>
    <s v="D6408"/>
    <x v="3"/>
    <s v="2.50"/>
    <s v="71"/>
    <s v="Bina Nusantara University - School of Computer Science (Bandung)"/>
    <s v="IT Developer"/>
    <s v="6 Month(s)"/>
    <d v="2026-02-02T00:00:00"/>
    <s v="31/07/2026"/>
    <s v="Onsite"/>
    <s v="Not Yet Enrolled"/>
  </r>
  <r>
    <s v="BN125018473"/>
    <n v="2702282370"/>
    <x v="157"/>
    <s v="zery.sasongko@binus.ac.id"/>
    <s v="082266591472"/>
    <s v="Research Fellowship"/>
    <s v="D6184"/>
    <x v="2"/>
    <s v="2.48"/>
    <s v="82"/>
    <s v="Mochammad Haldi Widianto, S.T., M.T."/>
    <s v="implementasi IoT di lingkungan sekolah"/>
    <s v="6 Month(s)"/>
    <d v="2026-02-02T00:00:00"/>
    <d v="2026-02-08T00:00:00"/>
    <s v="WFO"/>
    <s v="Enrolled"/>
  </r>
  <r>
    <s v="BN125223705"/>
    <n v="2702362030"/>
    <x v="158"/>
    <s v="kevin.steffers@binus.ac.id"/>
    <s v="081339523542"/>
    <s v="Company Internship"/>
    <s v="D6469"/>
    <x v="7"/>
    <s v="2.47"/>
    <s v="76"/>
    <s v="Bina Nusantara University - School of Computer Science (Bandung)"/>
    <s v="IT Developer"/>
    <s v="6 Month(s)"/>
    <d v="2026-02-02T00:00:00"/>
    <s v="31/07/2026"/>
    <s v="Onsite"/>
    <s v="Not Yet Enrolled"/>
  </r>
  <r>
    <s v="BN125061723"/>
    <n v="2702309353"/>
    <x v="159"/>
    <s v="ahmad.affandinov@binus.ac.id"/>
    <s v="+62 85721000007"/>
    <s v="Company Internship"/>
    <s v="D6532"/>
    <x v="4"/>
    <s v="2.42"/>
    <s v="72"/>
    <s v="PT.Piktura Lensa Nusa"/>
    <s v="UI/UX Designer"/>
    <s v="12 Month(s)"/>
    <d v="2026-02-02T00:00:00"/>
    <s v="31/01/2027"/>
    <s v="Hybrid"/>
    <s v="Enrolled"/>
  </r>
  <r>
    <s v="BN125113405"/>
    <n v="2702337350"/>
    <x v="160"/>
    <s v="faris.santosa@binus.ac.id"/>
    <s v="+6285624068900"/>
    <s v="Company Internship"/>
    <s v="D6532"/>
    <x v="4"/>
    <s v="2.41"/>
    <s v="72"/>
    <s v="Bina Nusantara University - School of Computer Science (Bandung)"/>
    <s v="IT Developer"/>
    <s v="6 Month(s)"/>
    <d v="2026-02-02T00:00:00"/>
    <s v="31/07/2026"/>
    <s v="Onsite"/>
    <s v="Not Yet Enrolled"/>
  </r>
  <r>
    <s v="BN125215861"/>
    <n v="2702358140"/>
    <x v="161"/>
    <s v="nazzar.hibatullah@binus.ac.id"/>
    <s v="+6288220711150"/>
    <s v="Company Internship"/>
    <s v="D6274"/>
    <x v="6"/>
    <s v="2.32"/>
    <s v="78"/>
    <s v="Balai Besar Pengawas Obat dan Makanan Bandung"/>
    <s v="Systems Analyst"/>
    <s v="6 Month(s)"/>
    <d v="2026-09-02T00:00:00"/>
    <s v="31/07/2026"/>
    <s v="Onsite"/>
    <s v="Enrolled"/>
  </r>
  <r>
    <s v="BN124991964"/>
    <n v="2702267281"/>
    <x v="162"/>
    <s v="stanley.siva@binus.ac.id"/>
    <s v="+628157019603"/>
    <s v="Company Internship"/>
    <s v="D6274"/>
    <x v="6"/>
    <s v="2.31"/>
    <s v="78"/>
    <s v="PT Bina San Prima"/>
    <s v="IT Support"/>
    <s v="12 Month(s)"/>
    <d v="2026-02-02T00:00:00"/>
    <s v="31/01/2027"/>
    <s v="Onsite"/>
    <s v="Enrolled"/>
  </r>
  <r>
    <s v="BN125089702"/>
    <n v="2702321365"/>
    <x v="163"/>
    <s v="sultan.ferdian@binus.ac.id"/>
    <s v="085121082593"/>
    <s v="Company Internship"/>
    <s v="D6407"/>
    <x v="11"/>
    <s v="2.24"/>
    <s v="76"/>
    <s v="Bina Nusantara University - School of Computer Science (Bandung)"/>
    <s v="IT Developer"/>
    <s v="6 Month(s)"/>
    <d v="2026-02-02T00:00:00"/>
    <s v="31/07/2026"/>
    <s v="Onsite"/>
    <s v="Enrolled"/>
  </r>
  <r>
    <s v="BN125040100"/>
    <n v="2702301205"/>
    <x v="164"/>
    <s v="muhammad.rizq@binus.ac.id"/>
    <s v="+6281547588632"/>
    <s v="Specific Independent Study"/>
    <s v="D7187"/>
    <x v="14"/>
    <s v="2.19"/>
    <s v="73"/>
    <s v="-"/>
    <s v="-"/>
    <s v="-"/>
    <s v="-"/>
    <s v="-"/>
    <s v="-"/>
    <s v="Not Yet Enrolled"/>
  </r>
  <r>
    <s v="BN124934071"/>
    <n v="2702227971"/>
    <x v="165"/>
    <s v="andre.alamsyah@binus.ac.id"/>
    <s v="+6285121021364"/>
    <s v="Company Internship"/>
    <s v="D6407"/>
    <x v="11"/>
    <s v="2.17"/>
    <s v="74"/>
    <s v="Dinas Perhubungan Kabupaten Bandung"/>
    <s v="Full Stack Developer"/>
    <s v="12 Month(s)"/>
    <d v="2026-02-02T00:00:00"/>
    <s v="31/01/2027"/>
    <s v="Hybrid"/>
    <s v="Enrolled"/>
  </r>
  <r>
    <s v="BN125004303"/>
    <n v="2702277042"/>
    <x v="166"/>
    <s v="zoriick@binus.ac.id"/>
    <s v="+6281803119111"/>
    <s v="Specific Independent Study"/>
    <s v="D6532"/>
    <x v="4"/>
    <s v="2.08"/>
    <s v="61"/>
    <s v="-"/>
    <s v="-"/>
    <s v="-"/>
    <s v="-"/>
    <s v="-"/>
    <s v="-"/>
    <s v="Not Yet Enrolled"/>
  </r>
  <r>
    <s v="BN124934973"/>
    <n v="2702228904"/>
    <x v="167"/>
    <s v="nicholas.nugraha@binus.ac.id"/>
    <s v="081237341457"/>
    <s v="Entrepreneurship"/>
    <s v="D1749"/>
    <x v="8"/>
    <s v="2.05"/>
    <s v="78"/>
    <s v="Binus Incubator"/>
    <s v="CEO"/>
    <s v="-"/>
    <s v="-"/>
    <s v="-"/>
    <s v="-"/>
    <s v="Not Yet Enrolled"/>
  </r>
  <r>
    <s v="BN124568332"/>
    <n v="2602071940"/>
    <x v="168"/>
    <s v="rainer.timothy@binus.ac.id"/>
    <n v="6285101687780"/>
    <s v="Certified Research"/>
    <s v="D6532"/>
    <x v="4"/>
    <n v="3.61"/>
    <n v="100"/>
    <s v="-"/>
    <s v="-"/>
    <s v="-"/>
    <s v="-"/>
    <s v="-"/>
    <s v="-"/>
    <s v="Not Yet Enrolled"/>
  </r>
  <r>
    <s v="BN124320434"/>
    <n v="2501976485"/>
    <x v="169"/>
    <s v="muhammad.syach001@binus.ac.id"/>
    <n v="6285974330005"/>
    <s v="Certified Internship"/>
    <s v="D6670"/>
    <x v="9"/>
    <n v="2.92"/>
    <n v="90"/>
    <s v="-"/>
    <s v="-"/>
    <s v="-"/>
    <s v="-"/>
    <s v="-"/>
    <s v="-"/>
    <s v="Not Yet Enroll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A3354-6FBE-4075-BBFA-3E1A339153D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B190" firstHeaderRow="1" firstDataRow="1" firstDataCol="2"/>
  <pivotFields count="17">
    <pivotField compact="0" showAll="0"/>
    <pivotField compact="0" showAll="0"/>
    <pivotField axis="axisRow" compact="0" showAll="0">
      <items count="171">
        <item x="105"/>
        <item x="159"/>
        <item x="59"/>
        <item x="78"/>
        <item x="130"/>
        <item x="19"/>
        <item x="34"/>
        <item x="165"/>
        <item x="47"/>
        <item x="113"/>
        <item x="117"/>
        <item x="153"/>
        <item x="107"/>
        <item x="156"/>
        <item x="37"/>
        <item x="38"/>
        <item x="114"/>
        <item x="90"/>
        <item x="125"/>
        <item x="62"/>
        <item x="129"/>
        <item x="84"/>
        <item x="17"/>
        <item x="98"/>
        <item x="131"/>
        <item x="101"/>
        <item x="18"/>
        <item x="112"/>
        <item x="52"/>
        <item x="122"/>
        <item x="99"/>
        <item x="128"/>
        <item x="32"/>
        <item x="92"/>
        <item x="23"/>
        <item x="21"/>
        <item x="39"/>
        <item x="24"/>
        <item x="50"/>
        <item x="103"/>
        <item x="10"/>
        <item x="145"/>
        <item x="160"/>
        <item x="154"/>
        <item x="72"/>
        <item x="0"/>
        <item x="91"/>
        <item x="7"/>
        <item x="115"/>
        <item x="11"/>
        <item x="108"/>
        <item x="96"/>
        <item x="31"/>
        <item x="68"/>
        <item x="57"/>
        <item x="147"/>
        <item x="35"/>
        <item x="41"/>
        <item x="66"/>
        <item x="46"/>
        <item x="71"/>
        <item x="27"/>
        <item x="40"/>
        <item x="134"/>
        <item x="12"/>
        <item x="146"/>
        <item x="5"/>
        <item x="123"/>
        <item x="54"/>
        <item x="97"/>
        <item x="109"/>
        <item x="79"/>
        <item x="69"/>
        <item x="76"/>
        <item x="42"/>
        <item x="102"/>
        <item x="3"/>
        <item x="28"/>
        <item x="158"/>
        <item x="94"/>
        <item x="65"/>
        <item x="53"/>
        <item x="155"/>
        <item x="136"/>
        <item x="152"/>
        <item x="111"/>
        <item x="110"/>
        <item x="64"/>
        <item x="13"/>
        <item x="45"/>
        <item x="61"/>
        <item x="144"/>
        <item x="26"/>
        <item x="86"/>
        <item x="121"/>
        <item x="143"/>
        <item x="139"/>
        <item x="82"/>
        <item x="169"/>
        <item x="164"/>
        <item x="22"/>
        <item x="104"/>
        <item x="29"/>
        <item x="30"/>
        <item x="150"/>
        <item x="48"/>
        <item x="85"/>
        <item x="89"/>
        <item x="161"/>
        <item x="25"/>
        <item x="167"/>
        <item x="83"/>
        <item x="138"/>
        <item x="15"/>
        <item x="74"/>
        <item x="55"/>
        <item x="58"/>
        <item x="119"/>
        <item x="142"/>
        <item x="36"/>
        <item x="126"/>
        <item x="168"/>
        <item x="140"/>
        <item x="73"/>
        <item x="33"/>
        <item x="87"/>
        <item x="14"/>
        <item x="132"/>
        <item x="100"/>
        <item x="133"/>
        <item x="149"/>
        <item x="116"/>
        <item x="106"/>
        <item x="148"/>
        <item x="80"/>
        <item x="95"/>
        <item x="135"/>
        <item x="75"/>
        <item x="56"/>
        <item x="43"/>
        <item x="70"/>
        <item x="16"/>
        <item x="88"/>
        <item x="63"/>
        <item x="120"/>
        <item x="162"/>
        <item x="9"/>
        <item x="51"/>
        <item x="81"/>
        <item x="163"/>
        <item x="77"/>
        <item x="44"/>
        <item x="2"/>
        <item x="8"/>
        <item x="20"/>
        <item x="4"/>
        <item x="67"/>
        <item x="141"/>
        <item x="118"/>
        <item x="49"/>
        <item x="60"/>
        <item x="124"/>
        <item x="137"/>
        <item x="1"/>
        <item x="151"/>
        <item x="6"/>
        <item x="93"/>
        <item x="127"/>
        <item x="157"/>
        <item x="16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16">
        <item x="9"/>
        <item x="14"/>
        <item x="1"/>
        <item x="12"/>
        <item x="4"/>
        <item x="11"/>
        <item x="6"/>
        <item x="8"/>
        <item x="2"/>
        <item x="5"/>
        <item x="10"/>
        <item x="7"/>
        <item x="0"/>
        <item x="3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7"/>
    <field x="2"/>
  </rowFields>
  <rowItems count="187">
    <i>
      <x/>
    </i>
    <i r="1">
      <x v="3"/>
    </i>
    <i r="1">
      <x v="30"/>
    </i>
    <i r="1">
      <x v="36"/>
    </i>
    <i r="1">
      <x v="39"/>
    </i>
    <i r="1">
      <x v="43"/>
    </i>
    <i r="1">
      <x v="57"/>
    </i>
    <i r="1">
      <x v="65"/>
    </i>
    <i r="1">
      <x v="87"/>
    </i>
    <i r="1">
      <x v="98"/>
    </i>
    <i r="1">
      <x v="102"/>
    </i>
    <i r="1">
      <x v="109"/>
    </i>
    <i r="1">
      <x v="125"/>
    </i>
    <i>
      <x v="1"/>
    </i>
    <i r="1">
      <x v="69"/>
    </i>
    <i r="1">
      <x v="70"/>
    </i>
    <i r="1">
      <x v="72"/>
    </i>
    <i r="1">
      <x v="73"/>
    </i>
    <i r="1">
      <x v="75"/>
    </i>
    <i r="1">
      <x v="82"/>
    </i>
    <i r="1">
      <x v="83"/>
    </i>
    <i r="1">
      <x v="85"/>
    </i>
    <i r="1">
      <x v="90"/>
    </i>
    <i r="1">
      <x v="96"/>
    </i>
    <i r="1">
      <x v="99"/>
    </i>
    <i r="1">
      <x v="104"/>
    </i>
    <i>
      <x v="2"/>
    </i>
    <i r="1">
      <x v="11"/>
    </i>
    <i r="1">
      <x v="40"/>
    </i>
    <i r="1">
      <x v="49"/>
    </i>
    <i r="1">
      <x v="56"/>
    </i>
    <i r="1">
      <x v="62"/>
    </i>
    <i r="1">
      <x v="66"/>
    </i>
    <i r="1">
      <x v="88"/>
    </i>
    <i r="1">
      <x v="103"/>
    </i>
    <i r="1">
      <x v="119"/>
    </i>
    <i r="1">
      <x v="147"/>
    </i>
    <i r="1">
      <x v="163"/>
    </i>
    <i r="1">
      <x v="165"/>
    </i>
    <i>
      <x v="3"/>
    </i>
    <i r="1">
      <x v="15"/>
    </i>
    <i r="1">
      <x v="107"/>
    </i>
    <i r="1">
      <x v="114"/>
    </i>
    <i r="1">
      <x v="120"/>
    </i>
    <i r="1">
      <x v="122"/>
    </i>
    <i r="1">
      <x v="127"/>
    </i>
    <i r="1">
      <x v="128"/>
    </i>
    <i r="1">
      <x v="150"/>
    </i>
    <i r="1">
      <x v="156"/>
    </i>
    <i r="1">
      <x v="159"/>
    </i>
    <i r="1">
      <x v="166"/>
    </i>
    <i r="1">
      <x v="167"/>
    </i>
    <i>
      <x v="4"/>
    </i>
    <i r="1">
      <x v="1"/>
    </i>
    <i r="1">
      <x v="21"/>
    </i>
    <i r="1">
      <x v="23"/>
    </i>
    <i r="1">
      <x v="24"/>
    </i>
    <i r="1">
      <x v="42"/>
    </i>
    <i r="1">
      <x v="46"/>
    </i>
    <i r="1">
      <x v="112"/>
    </i>
    <i r="1">
      <x v="121"/>
    </i>
    <i r="1">
      <x v="135"/>
    </i>
    <i r="1">
      <x v="153"/>
    </i>
    <i r="1">
      <x v="164"/>
    </i>
    <i r="1">
      <x v="169"/>
    </i>
    <i>
      <x v="5"/>
    </i>
    <i r="1">
      <x v="6"/>
    </i>
    <i r="1">
      <x v="7"/>
    </i>
    <i r="1">
      <x v="16"/>
    </i>
    <i r="1">
      <x v="33"/>
    </i>
    <i r="1">
      <x v="86"/>
    </i>
    <i r="1">
      <x v="91"/>
    </i>
    <i r="1">
      <x v="115"/>
    </i>
    <i r="1">
      <x v="117"/>
    </i>
    <i r="1">
      <x v="118"/>
    </i>
    <i r="1">
      <x v="139"/>
    </i>
    <i r="1">
      <x v="149"/>
    </i>
    <i r="1">
      <x v="160"/>
    </i>
    <i>
      <x v="6"/>
    </i>
    <i r="1">
      <x v="9"/>
    </i>
    <i r="1">
      <x v="51"/>
    </i>
    <i r="1">
      <x v="52"/>
    </i>
    <i r="1">
      <x v="54"/>
    </i>
    <i r="1">
      <x v="92"/>
    </i>
    <i r="1">
      <x v="101"/>
    </i>
    <i r="1">
      <x v="106"/>
    </i>
    <i r="1">
      <x v="108"/>
    </i>
    <i r="1">
      <x v="113"/>
    </i>
    <i r="1">
      <x v="129"/>
    </i>
    <i r="1">
      <x v="132"/>
    </i>
    <i r="1">
      <x v="145"/>
    </i>
    <i>
      <x v="7"/>
    </i>
    <i r="1">
      <x v="8"/>
    </i>
    <i r="1">
      <x v="14"/>
    </i>
    <i r="1">
      <x v="19"/>
    </i>
    <i r="1">
      <x v="26"/>
    </i>
    <i r="1">
      <x v="44"/>
    </i>
    <i r="1">
      <x v="60"/>
    </i>
    <i r="1">
      <x v="61"/>
    </i>
    <i r="1">
      <x v="77"/>
    </i>
    <i r="1">
      <x v="79"/>
    </i>
    <i r="1">
      <x v="100"/>
    </i>
    <i r="1">
      <x v="110"/>
    </i>
    <i r="1">
      <x v="136"/>
    </i>
    <i>
      <x v="8"/>
    </i>
    <i r="1">
      <x v="29"/>
    </i>
    <i r="1">
      <x v="35"/>
    </i>
    <i r="1">
      <x v="63"/>
    </i>
    <i r="1">
      <x v="71"/>
    </i>
    <i r="1">
      <x v="93"/>
    </i>
    <i r="1">
      <x v="95"/>
    </i>
    <i r="1">
      <x v="134"/>
    </i>
    <i r="1">
      <x v="138"/>
    </i>
    <i r="1">
      <x v="140"/>
    </i>
    <i r="1">
      <x v="152"/>
    </i>
    <i r="1">
      <x v="162"/>
    </i>
    <i r="1">
      <x v="168"/>
    </i>
    <i>
      <x v="9"/>
    </i>
    <i r="1">
      <x v="5"/>
    </i>
    <i r="1">
      <x v="20"/>
    </i>
    <i r="1">
      <x v="27"/>
    </i>
    <i r="1">
      <x v="58"/>
    </i>
    <i r="1">
      <x v="64"/>
    </i>
    <i r="1">
      <x v="67"/>
    </i>
    <i r="1">
      <x v="97"/>
    </i>
    <i r="1">
      <x v="131"/>
    </i>
    <i r="1">
      <x v="133"/>
    </i>
    <i r="1">
      <x v="144"/>
    </i>
    <i r="1">
      <x v="151"/>
    </i>
    <i r="1">
      <x v="161"/>
    </i>
    <i>
      <x v="10"/>
    </i>
    <i r="1">
      <x/>
    </i>
    <i r="1">
      <x v="4"/>
    </i>
    <i r="1">
      <x v="10"/>
    </i>
    <i r="1">
      <x v="12"/>
    </i>
    <i r="1">
      <x v="18"/>
    </i>
    <i r="1">
      <x v="25"/>
    </i>
    <i r="1">
      <x v="31"/>
    </i>
    <i r="1">
      <x v="32"/>
    </i>
    <i r="1">
      <x v="41"/>
    </i>
    <i r="1">
      <x v="50"/>
    </i>
    <i r="1">
      <x v="55"/>
    </i>
    <i r="1">
      <x v="142"/>
    </i>
    <i>
      <x v="11"/>
    </i>
    <i r="1">
      <x v="22"/>
    </i>
    <i r="1">
      <x v="48"/>
    </i>
    <i r="1">
      <x v="53"/>
    </i>
    <i r="1">
      <x v="68"/>
    </i>
    <i r="1">
      <x v="78"/>
    </i>
    <i r="1">
      <x v="81"/>
    </i>
    <i r="1">
      <x v="84"/>
    </i>
    <i r="1">
      <x v="105"/>
    </i>
    <i r="1">
      <x v="130"/>
    </i>
    <i r="1">
      <x v="141"/>
    </i>
    <i r="1">
      <x v="148"/>
    </i>
    <i r="1">
      <x v="158"/>
    </i>
    <i>
      <x v="12"/>
    </i>
    <i r="1">
      <x v="38"/>
    </i>
    <i r="1">
      <x v="45"/>
    </i>
    <i r="1">
      <x v="47"/>
    </i>
    <i r="1">
      <x v="59"/>
    </i>
    <i r="1">
      <x v="70"/>
    </i>
    <i r="1">
      <x v="74"/>
    </i>
    <i r="1">
      <x v="76"/>
    </i>
    <i r="1">
      <x v="80"/>
    </i>
    <i r="1">
      <x v="89"/>
    </i>
    <i r="1">
      <x v="111"/>
    </i>
    <i r="1">
      <x v="123"/>
    </i>
    <i r="1">
      <x v="124"/>
    </i>
    <i>
      <x v="13"/>
    </i>
    <i r="1">
      <x v="13"/>
    </i>
    <i r="1">
      <x v="17"/>
    </i>
    <i r="1">
      <x v="28"/>
    </i>
    <i r="1">
      <x v="34"/>
    </i>
    <i r="1">
      <x v="37"/>
    </i>
    <i r="1">
      <x v="94"/>
    </i>
    <i r="1">
      <x v="126"/>
    </i>
    <i r="1">
      <x v="137"/>
    </i>
    <i r="1">
      <x v="143"/>
    </i>
    <i r="1">
      <x v="146"/>
    </i>
    <i r="1">
      <x v="154"/>
    </i>
    <i r="1">
      <x v="155"/>
    </i>
    <i>
      <x v="14"/>
    </i>
    <i r="1">
      <x v="2"/>
    </i>
    <i r="1">
      <x v="116"/>
    </i>
    <i r="1">
      <x v="15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uhammad.syach001@binus.ac.i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uhammad.syach001@binus.ac.i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uhammad.syach001@binus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6D24-EAEA-455D-AF3D-38B083BEF8B3}">
  <dimension ref="A3:B190"/>
  <sheetViews>
    <sheetView workbookViewId="0">
      <selection activeCell="A3" sqref="A3"/>
    </sheetView>
  </sheetViews>
  <sheetFormatPr defaultRowHeight="14.5" x14ac:dyDescent="0.35"/>
  <cols>
    <col min="1" max="1" width="44.26953125" bestFit="1" customWidth="1"/>
    <col min="2" max="2" width="37.7265625" bestFit="1" customWidth="1"/>
    <col min="3" max="3" width="30.90625" bestFit="1" customWidth="1"/>
    <col min="4" max="4" width="27.7265625" bestFit="1" customWidth="1"/>
    <col min="5" max="5" width="21.453125" bestFit="1" customWidth="1"/>
    <col min="6" max="6" width="16.7265625" bestFit="1" customWidth="1"/>
    <col min="7" max="7" width="18.26953125" bestFit="1" customWidth="1"/>
    <col min="8" max="8" width="15" bestFit="1" customWidth="1"/>
    <col min="9" max="9" width="28.36328125" bestFit="1" customWidth="1"/>
    <col min="10" max="10" width="23.7265625" bestFit="1" customWidth="1"/>
    <col min="11" max="11" width="26.08984375" bestFit="1" customWidth="1"/>
    <col min="12" max="12" width="23.90625" bestFit="1" customWidth="1"/>
    <col min="13" max="13" width="24.453125" bestFit="1" customWidth="1"/>
    <col min="14" max="14" width="25.6328125" bestFit="1" customWidth="1"/>
    <col min="15" max="15" width="23.1796875" bestFit="1" customWidth="1"/>
    <col min="16" max="16" width="14.81640625" bestFit="1" customWidth="1"/>
    <col min="17" max="17" width="15.453125" bestFit="1" customWidth="1"/>
    <col min="18" max="18" width="21.54296875" bestFit="1" customWidth="1"/>
    <col min="19" max="19" width="20" bestFit="1" customWidth="1"/>
    <col min="20" max="20" width="19" bestFit="1" customWidth="1"/>
    <col min="21" max="21" width="13.7265625" bestFit="1" customWidth="1"/>
    <col min="22" max="22" width="14.7265625" bestFit="1" customWidth="1"/>
    <col min="23" max="23" width="28" bestFit="1" customWidth="1"/>
    <col min="24" max="24" width="16.6328125" bestFit="1" customWidth="1"/>
    <col min="25" max="25" width="17" bestFit="1" customWidth="1"/>
    <col min="26" max="26" width="22.26953125" bestFit="1" customWidth="1"/>
    <col min="27" max="27" width="14.08984375" bestFit="1" customWidth="1"/>
    <col min="28" max="28" width="20.81640625" bestFit="1" customWidth="1"/>
    <col min="29" max="29" width="21.6328125" bestFit="1" customWidth="1"/>
    <col min="30" max="30" width="20.453125" bestFit="1" customWidth="1"/>
    <col min="31" max="31" width="16.54296875" bestFit="1" customWidth="1"/>
    <col min="32" max="32" width="27.26953125" bestFit="1" customWidth="1"/>
    <col min="33" max="33" width="27.7265625" bestFit="1" customWidth="1"/>
    <col min="34" max="34" width="14.6328125" bestFit="1" customWidth="1"/>
    <col min="35" max="35" width="22.6328125" bestFit="1" customWidth="1"/>
    <col min="36" max="36" width="24.453125" bestFit="1" customWidth="1"/>
    <col min="37" max="37" width="26.54296875" bestFit="1" customWidth="1"/>
    <col min="38" max="38" width="14.7265625" bestFit="1" customWidth="1"/>
    <col min="39" max="39" width="35.36328125" bestFit="1" customWidth="1"/>
    <col min="40" max="40" width="20.36328125" bestFit="1" customWidth="1"/>
    <col min="41" max="41" width="14.1796875" bestFit="1" customWidth="1"/>
    <col min="42" max="42" width="31" bestFit="1" customWidth="1"/>
    <col min="43" max="43" width="16.453125" bestFit="1" customWidth="1"/>
    <col min="44" max="44" width="20.7265625" bestFit="1" customWidth="1"/>
    <col min="45" max="45" width="19.90625" bestFit="1" customWidth="1"/>
    <col min="46" max="46" width="14.7265625" bestFit="1" customWidth="1"/>
    <col min="47" max="47" width="12.1796875" bestFit="1" customWidth="1"/>
    <col min="48" max="48" width="20.08984375" bestFit="1" customWidth="1"/>
    <col min="49" max="49" width="31.81640625" bestFit="1" customWidth="1"/>
    <col min="50" max="50" width="34.1796875" bestFit="1" customWidth="1"/>
    <col min="51" max="51" width="31.08984375" bestFit="1" customWidth="1"/>
    <col min="52" max="52" width="27.81640625" bestFit="1" customWidth="1"/>
    <col min="53" max="53" width="8.453125" bestFit="1" customWidth="1"/>
    <col min="54" max="54" width="24.7265625" bestFit="1" customWidth="1"/>
    <col min="55" max="55" width="18.26953125" bestFit="1" customWidth="1"/>
    <col min="56" max="56" width="21.26953125" bestFit="1" customWidth="1"/>
    <col min="57" max="57" width="22.1796875" bestFit="1" customWidth="1"/>
    <col min="58" max="58" width="24.26953125" bestFit="1" customWidth="1"/>
    <col min="59" max="59" width="16.6328125" bestFit="1" customWidth="1"/>
    <col min="60" max="60" width="14.90625" bestFit="1" customWidth="1"/>
    <col min="61" max="61" width="9.08984375" bestFit="1" customWidth="1"/>
    <col min="62" max="62" width="8.81640625" bestFit="1" customWidth="1"/>
    <col min="63" max="63" width="17.26953125" bestFit="1" customWidth="1"/>
    <col min="64" max="64" width="14.90625" bestFit="1" customWidth="1"/>
    <col min="65" max="65" width="15.08984375" bestFit="1" customWidth="1"/>
    <col min="66" max="66" width="13.6328125" bestFit="1" customWidth="1"/>
    <col min="67" max="67" width="20.36328125" bestFit="1" customWidth="1"/>
    <col min="68" max="68" width="25.36328125" bestFit="1" customWidth="1"/>
    <col min="69" max="69" width="26" bestFit="1" customWidth="1"/>
    <col min="70" max="70" width="22.08984375" bestFit="1" customWidth="1"/>
    <col min="71" max="71" width="34.26953125" bestFit="1" customWidth="1"/>
    <col min="72" max="72" width="19.36328125" bestFit="1" customWidth="1"/>
    <col min="73" max="73" width="19.1796875" bestFit="1" customWidth="1"/>
    <col min="74" max="74" width="22.453125" bestFit="1" customWidth="1"/>
    <col min="75" max="75" width="11.36328125" bestFit="1" customWidth="1"/>
    <col min="76" max="76" width="24.90625" bestFit="1" customWidth="1"/>
    <col min="77" max="77" width="14.453125" bestFit="1" customWidth="1"/>
    <col min="78" max="78" width="16.6328125" bestFit="1" customWidth="1"/>
    <col min="79" max="79" width="23.7265625" bestFit="1" customWidth="1"/>
    <col min="80" max="80" width="21.6328125" bestFit="1" customWidth="1"/>
    <col min="81" max="81" width="26.54296875" bestFit="1" customWidth="1"/>
    <col min="82" max="82" width="14.26953125" bestFit="1" customWidth="1"/>
    <col min="83" max="83" width="19.26953125" bestFit="1" customWidth="1"/>
    <col min="84" max="84" width="24.1796875" bestFit="1" customWidth="1"/>
    <col min="85" max="85" width="23.36328125" bestFit="1" customWidth="1"/>
    <col min="86" max="86" width="29.36328125" bestFit="1" customWidth="1"/>
    <col min="87" max="87" width="24.7265625" bestFit="1" customWidth="1"/>
    <col min="88" max="88" width="17.26953125" bestFit="1" customWidth="1"/>
    <col min="89" max="89" width="25.54296875" bestFit="1" customWidth="1"/>
    <col min="90" max="90" width="17.1796875" bestFit="1" customWidth="1"/>
    <col min="91" max="91" width="14.90625" bestFit="1" customWidth="1"/>
    <col min="92" max="92" width="17" bestFit="1" customWidth="1"/>
    <col min="93" max="93" width="15.6328125" bestFit="1" customWidth="1"/>
    <col min="94" max="94" width="24.36328125" bestFit="1" customWidth="1"/>
    <col min="95" max="95" width="26.08984375" bestFit="1" customWidth="1"/>
    <col min="96" max="96" width="27" bestFit="1" customWidth="1"/>
    <col min="97" max="97" width="22.81640625" bestFit="1" customWidth="1"/>
    <col min="98" max="98" width="29.08984375" bestFit="1" customWidth="1"/>
    <col min="99" max="99" width="35.54296875" bestFit="1" customWidth="1"/>
    <col min="100" max="100" width="23.453125" bestFit="1" customWidth="1"/>
    <col min="101" max="101" width="21.7265625" bestFit="1" customWidth="1"/>
    <col min="102" max="102" width="22.26953125" bestFit="1" customWidth="1"/>
    <col min="103" max="103" width="26.54296875" bestFit="1" customWidth="1"/>
    <col min="104" max="104" width="20.36328125" bestFit="1" customWidth="1"/>
    <col min="105" max="105" width="23.36328125" bestFit="1" customWidth="1"/>
    <col min="106" max="106" width="22.90625" bestFit="1" customWidth="1"/>
    <col min="107" max="107" width="23.7265625" bestFit="1" customWidth="1"/>
    <col min="108" max="108" width="28.08984375" bestFit="1" customWidth="1"/>
    <col min="109" max="109" width="22.6328125" bestFit="1" customWidth="1"/>
    <col min="110" max="110" width="18.36328125" bestFit="1" customWidth="1"/>
    <col min="111" max="111" width="31.7265625" bestFit="1" customWidth="1"/>
    <col min="112" max="112" width="18.54296875" bestFit="1" customWidth="1"/>
    <col min="113" max="113" width="25.36328125" bestFit="1" customWidth="1"/>
    <col min="114" max="114" width="17.7265625" bestFit="1" customWidth="1"/>
    <col min="115" max="115" width="19.36328125" bestFit="1" customWidth="1"/>
    <col min="116" max="116" width="23.26953125" bestFit="1" customWidth="1"/>
    <col min="117" max="117" width="20" bestFit="1" customWidth="1"/>
    <col min="118" max="118" width="22" bestFit="1" customWidth="1"/>
    <col min="119" max="119" width="25.54296875" bestFit="1" customWidth="1"/>
    <col min="120" max="120" width="22.453125" bestFit="1" customWidth="1"/>
    <col min="121" max="121" width="37.6328125" bestFit="1" customWidth="1"/>
    <col min="122" max="122" width="26.08984375" bestFit="1" customWidth="1"/>
    <col min="123" max="123" width="15" bestFit="1" customWidth="1"/>
    <col min="124" max="124" width="14.08984375" bestFit="1" customWidth="1"/>
    <col min="125" max="125" width="32.26953125" bestFit="1" customWidth="1"/>
    <col min="126" max="126" width="21.08984375" bestFit="1" customWidth="1"/>
    <col min="127" max="127" width="30.6328125" bestFit="1" customWidth="1"/>
    <col min="128" max="128" width="18.08984375" bestFit="1" customWidth="1"/>
    <col min="129" max="129" width="14.1796875" bestFit="1" customWidth="1"/>
    <col min="130" max="130" width="22.08984375" bestFit="1" customWidth="1"/>
    <col min="131" max="131" width="14.6328125" bestFit="1" customWidth="1"/>
    <col min="132" max="132" width="21.1796875" bestFit="1" customWidth="1"/>
    <col min="133" max="133" width="21.36328125" bestFit="1" customWidth="1"/>
    <col min="134" max="134" width="23.6328125" bestFit="1" customWidth="1"/>
    <col min="135" max="135" width="19.54296875" bestFit="1" customWidth="1"/>
    <col min="136" max="136" width="27.453125" bestFit="1" customWidth="1"/>
    <col min="137" max="137" width="21.1796875" bestFit="1" customWidth="1"/>
    <col min="138" max="138" width="11.08984375" bestFit="1" customWidth="1"/>
    <col min="139" max="139" width="17.54296875" bestFit="1" customWidth="1"/>
    <col min="140" max="140" width="26.6328125" bestFit="1" customWidth="1"/>
    <col min="141" max="141" width="16.7265625" bestFit="1" customWidth="1"/>
    <col min="142" max="142" width="18.54296875" bestFit="1" customWidth="1"/>
    <col min="143" max="143" width="22.1796875" bestFit="1" customWidth="1"/>
    <col min="144" max="144" width="18.36328125" bestFit="1" customWidth="1"/>
    <col min="145" max="145" width="19.36328125" bestFit="1" customWidth="1"/>
    <col min="146" max="146" width="28.54296875" bestFit="1" customWidth="1"/>
    <col min="147" max="147" width="18.6328125" bestFit="1" customWidth="1"/>
    <col min="148" max="148" width="17.7265625" bestFit="1" customWidth="1"/>
    <col min="149" max="149" width="15.81640625" bestFit="1" customWidth="1"/>
    <col min="150" max="150" width="25.6328125" bestFit="1" customWidth="1"/>
    <col min="151" max="151" width="21.7265625" bestFit="1" customWidth="1"/>
    <col min="152" max="152" width="30.81640625" bestFit="1" customWidth="1"/>
    <col min="153" max="153" width="22.08984375" bestFit="1" customWidth="1"/>
    <col min="154" max="154" width="25.26953125" bestFit="1" customWidth="1"/>
    <col min="155" max="155" width="28.81640625" bestFit="1" customWidth="1"/>
    <col min="156" max="156" width="16.54296875" bestFit="1" customWidth="1"/>
    <col min="157" max="157" width="20.36328125" bestFit="1" customWidth="1"/>
    <col min="158" max="158" width="29.90625" bestFit="1" customWidth="1"/>
    <col min="159" max="159" width="15.6328125" bestFit="1" customWidth="1"/>
    <col min="160" max="160" width="12.1796875" bestFit="1" customWidth="1"/>
    <col min="161" max="161" width="17.54296875" bestFit="1" customWidth="1"/>
    <col min="162" max="162" width="19.26953125" bestFit="1" customWidth="1"/>
    <col min="163" max="163" width="26.08984375" bestFit="1" customWidth="1"/>
    <col min="164" max="164" width="21.81640625" bestFit="1" customWidth="1"/>
    <col min="165" max="165" width="25.6328125" bestFit="1" customWidth="1"/>
    <col min="166" max="166" width="16.1796875" bestFit="1" customWidth="1"/>
    <col min="167" max="167" width="24.26953125" bestFit="1" customWidth="1"/>
    <col min="168" max="168" width="30.7265625" bestFit="1" customWidth="1"/>
    <col min="169" max="169" width="24.453125" bestFit="1" customWidth="1"/>
    <col min="170" max="170" width="24.08984375" bestFit="1" customWidth="1"/>
    <col min="171" max="171" width="7.7265625" bestFit="1" customWidth="1"/>
    <col min="172" max="172" width="10.36328125" bestFit="1" customWidth="1"/>
  </cols>
  <sheetData>
    <row r="3" spans="1:2" x14ac:dyDescent="0.35">
      <c r="A3" s="27" t="s">
        <v>23</v>
      </c>
      <c r="B3" s="27" t="s">
        <v>18</v>
      </c>
    </row>
    <row r="4" spans="1:2" x14ac:dyDescent="0.35">
      <c r="A4" t="s">
        <v>0</v>
      </c>
    </row>
    <row r="5" spans="1:2" x14ac:dyDescent="0.35">
      <c r="B5" t="s">
        <v>515</v>
      </c>
    </row>
    <row r="6" spans="1:2" x14ac:dyDescent="0.35">
      <c r="B6" t="s">
        <v>621</v>
      </c>
    </row>
    <row r="7" spans="1:2" x14ac:dyDescent="0.35">
      <c r="B7" t="s">
        <v>300</v>
      </c>
    </row>
    <row r="8" spans="1:2" x14ac:dyDescent="0.35">
      <c r="B8" t="s">
        <v>639</v>
      </c>
    </row>
    <row r="9" spans="1:2" x14ac:dyDescent="0.35">
      <c r="B9" t="s">
        <v>900</v>
      </c>
    </row>
    <row r="10" spans="1:2" x14ac:dyDescent="0.35">
      <c r="B10" t="s">
        <v>312</v>
      </c>
    </row>
    <row r="11" spans="1:2" x14ac:dyDescent="0.35">
      <c r="B11" t="s">
        <v>857</v>
      </c>
    </row>
    <row r="12" spans="1:2" x14ac:dyDescent="0.35">
      <c r="B12" t="s">
        <v>445</v>
      </c>
    </row>
    <row r="13" spans="1:2" x14ac:dyDescent="0.35">
      <c r="B13" t="s">
        <v>986</v>
      </c>
    </row>
    <row r="14" spans="1:2" x14ac:dyDescent="0.35">
      <c r="B14" t="s">
        <v>235</v>
      </c>
    </row>
    <row r="15" spans="1:2" x14ac:dyDescent="0.35">
      <c r="B15" t="s">
        <v>211</v>
      </c>
    </row>
    <row r="16" spans="1:2" x14ac:dyDescent="0.35">
      <c r="B16" t="s">
        <v>561</v>
      </c>
    </row>
    <row r="17" spans="1:2" x14ac:dyDescent="0.35">
      <c r="A17" t="s">
        <v>1</v>
      </c>
    </row>
    <row r="18" spans="1:2" x14ac:dyDescent="0.35">
      <c r="B18" t="s">
        <v>612</v>
      </c>
    </row>
    <row r="19" spans="1:2" x14ac:dyDescent="0.35">
      <c r="B19" t="s">
        <v>669</v>
      </c>
    </row>
    <row r="20" spans="1:2" x14ac:dyDescent="0.35">
      <c r="B20" t="s">
        <v>468</v>
      </c>
    </row>
    <row r="21" spans="1:2" x14ac:dyDescent="0.35">
      <c r="B21" t="s">
        <v>506</v>
      </c>
    </row>
    <row r="22" spans="1:2" x14ac:dyDescent="0.35">
      <c r="B22" t="s">
        <v>635</v>
      </c>
    </row>
    <row r="23" spans="1:2" x14ac:dyDescent="0.35">
      <c r="B23" t="s">
        <v>906</v>
      </c>
    </row>
    <row r="24" spans="1:2" x14ac:dyDescent="0.35">
      <c r="B24" t="s">
        <v>808</v>
      </c>
    </row>
    <row r="25" spans="1:2" x14ac:dyDescent="0.35">
      <c r="B25" t="s">
        <v>679</v>
      </c>
    </row>
    <row r="26" spans="1:2" x14ac:dyDescent="0.35">
      <c r="B26" t="s">
        <v>429</v>
      </c>
    </row>
    <row r="27" spans="1:2" x14ac:dyDescent="0.35">
      <c r="B27" t="s">
        <v>822</v>
      </c>
    </row>
    <row r="28" spans="1:2" x14ac:dyDescent="0.35">
      <c r="B28" t="s">
        <v>957</v>
      </c>
    </row>
    <row r="29" spans="1:2" x14ac:dyDescent="0.35">
      <c r="B29" t="s">
        <v>879</v>
      </c>
    </row>
    <row r="30" spans="1:2" x14ac:dyDescent="0.35">
      <c r="A30" t="s">
        <v>2</v>
      </c>
    </row>
    <row r="31" spans="1:2" x14ac:dyDescent="0.35">
      <c r="B31" t="s">
        <v>894</v>
      </c>
    </row>
    <row r="32" spans="1:2" x14ac:dyDescent="0.35">
      <c r="B32" t="s">
        <v>116</v>
      </c>
    </row>
    <row r="33" spans="1:2" x14ac:dyDescent="0.35">
      <c r="B33" t="s">
        <v>124</v>
      </c>
    </row>
    <row r="34" spans="1:2" x14ac:dyDescent="0.35">
      <c r="B34" t="s">
        <v>274</v>
      </c>
    </row>
    <row r="35" spans="1:2" x14ac:dyDescent="0.35">
      <c r="B35" t="s">
        <v>306</v>
      </c>
    </row>
    <row r="36" spans="1:2" x14ac:dyDescent="0.35">
      <c r="B36" t="s">
        <v>85</v>
      </c>
    </row>
    <row r="37" spans="1:2" x14ac:dyDescent="0.35">
      <c r="B37" t="s">
        <v>136</v>
      </c>
    </row>
    <row r="38" spans="1:2" x14ac:dyDescent="0.35">
      <c r="B38" t="s">
        <v>242</v>
      </c>
    </row>
    <row r="39" spans="1:2" x14ac:dyDescent="0.35">
      <c r="B39" t="s">
        <v>282</v>
      </c>
    </row>
    <row r="40" spans="1:2" x14ac:dyDescent="0.35">
      <c r="B40" t="s">
        <v>371</v>
      </c>
    </row>
    <row r="41" spans="1:2" x14ac:dyDescent="0.35">
      <c r="B41" t="s">
        <v>49</v>
      </c>
    </row>
    <row r="42" spans="1:2" x14ac:dyDescent="0.35">
      <c r="B42" t="s">
        <v>91</v>
      </c>
    </row>
    <row r="43" spans="1:2" x14ac:dyDescent="0.35">
      <c r="A43" t="s">
        <v>3</v>
      </c>
    </row>
    <row r="44" spans="1:2" x14ac:dyDescent="0.35">
      <c r="B44" t="s">
        <v>294</v>
      </c>
    </row>
    <row r="45" spans="1:2" x14ac:dyDescent="0.35">
      <c r="B45" t="s">
        <v>571</v>
      </c>
    </row>
    <row r="46" spans="1:2" x14ac:dyDescent="0.35">
      <c r="B46" t="s">
        <v>495</v>
      </c>
    </row>
    <row r="47" spans="1:2" x14ac:dyDescent="0.35">
      <c r="B47" t="s">
        <v>755</v>
      </c>
    </row>
    <row r="48" spans="1:2" x14ac:dyDescent="0.35">
      <c r="B48" t="s">
        <v>827</v>
      </c>
    </row>
    <row r="49" spans="1:2" x14ac:dyDescent="0.35">
      <c r="B49" t="s">
        <v>787</v>
      </c>
    </row>
    <row r="50" spans="1:2" x14ac:dyDescent="0.35">
      <c r="B50" t="s">
        <v>625</v>
      </c>
    </row>
    <row r="51" spans="1:2" x14ac:dyDescent="0.35">
      <c r="B51" t="s">
        <v>511</v>
      </c>
    </row>
    <row r="52" spans="1:2" x14ac:dyDescent="0.35">
      <c r="B52" t="s">
        <v>459</v>
      </c>
    </row>
    <row r="53" spans="1:2" x14ac:dyDescent="0.35">
      <c r="B53" t="s">
        <v>357</v>
      </c>
    </row>
    <row r="54" spans="1:2" x14ac:dyDescent="0.35">
      <c r="B54" t="s">
        <v>591</v>
      </c>
    </row>
    <row r="55" spans="1:2" x14ac:dyDescent="0.35">
      <c r="B55" t="s">
        <v>759</v>
      </c>
    </row>
    <row r="56" spans="1:2" x14ac:dyDescent="0.35">
      <c r="A56" t="s">
        <v>4</v>
      </c>
    </row>
    <row r="57" spans="1:2" x14ac:dyDescent="0.35">
      <c r="B57" t="s">
        <v>927</v>
      </c>
    </row>
    <row r="58" spans="1:2" x14ac:dyDescent="0.35">
      <c r="B58" t="s">
        <v>546</v>
      </c>
    </row>
    <row r="59" spans="1:2" x14ac:dyDescent="0.35">
      <c r="B59" t="s">
        <v>617</v>
      </c>
    </row>
    <row r="60" spans="1:2" x14ac:dyDescent="0.35">
      <c r="B60" t="s">
        <v>783</v>
      </c>
    </row>
    <row r="61" spans="1:2" x14ac:dyDescent="0.35">
      <c r="B61" t="s">
        <v>934</v>
      </c>
    </row>
    <row r="62" spans="1:2" x14ac:dyDescent="0.35">
      <c r="B62" t="s">
        <v>580</v>
      </c>
    </row>
    <row r="63" spans="1:2" x14ac:dyDescent="0.35">
      <c r="B63" t="s">
        <v>817</v>
      </c>
    </row>
    <row r="64" spans="1:2" x14ac:dyDescent="0.35">
      <c r="B64" t="s">
        <v>982</v>
      </c>
    </row>
    <row r="65" spans="1:2" x14ac:dyDescent="0.35">
      <c r="B65" t="s">
        <v>602</v>
      </c>
    </row>
    <row r="66" spans="1:2" x14ac:dyDescent="0.35">
      <c r="B66" t="s">
        <v>102</v>
      </c>
    </row>
    <row r="67" spans="1:2" x14ac:dyDescent="0.35">
      <c r="B67" t="s">
        <v>884</v>
      </c>
    </row>
    <row r="68" spans="1:2" x14ac:dyDescent="0.35">
      <c r="B68" t="s">
        <v>969</v>
      </c>
    </row>
    <row r="69" spans="1:2" x14ac:dyDescent="0.35">
      <c r="A69" t="s">
        <v>5</v>
      </c>
    </row>
    <row r="70" spans="1:2" x14ac:dyDescent="0.35">
      <c r="B70" t="s">
        <v>267</v>
      </c>
    </row>
    <row r="71" spans="1:2" x14ac:dyDescent="0.35">
      <c r="B71" t="s">
        <v>962</v>
      </c>
    </row>
    <row r="72" spans="1:2" x14ac:dyDescent="0.35">
      <c r="B72" t="s">
        <v>694</v>
      </c>
    </row>
    <row r="73" spans="1:2" x14ac:dyDescent="0.35">
      <c r="B73" t="s">
        <v>585</v>
      </c>
    </row>
    <row r="74" spans="1:2" x14ac:dyDescent="0.35">
      <c r="B74" t="s">
        <v>674</v>
      </c>
    </row>
    <row r="75" spans="1:2" x14ac:dyDescent="0.35">
      <c r="B75" t="s">
        <v>846</v>
      </c>
    </row>
    <row r="76" spans="1:2" x14ac:dyDescent="0.35">
      <c r="B76" t="s">
        <v>391</v>
      </c>
    </row>
    <row r="77" spans="1:2" x14ac:dyDescent="0.35">
      <c r="B77" t="s">
        <v>718</v>
      </c>
    </row>
    <row r="78" spans="1:2" x14ac:dyDescent="0.35">
      <c r="B78" t="s">
        <v>836</v>
      </c>
    </row>
    <row r="79" spans="1:2" x14ac:dyDescent="0.35">
      <c r="B79" t="s">
        <v>322</v>
      </c>
    </row>
    <row r="80" spans="1:2" x14ac:dyDescent="0.35">
      <c r="B80" t="s">
        <v>952</v>
      </c>
    </row>
    <row r="81" spans="1:2" x14ac:dyDescent="0.35">
      <c r="B81" t="s">
        <v>424</v>
      </c>
    </row>
    <row r="82" spans="1:2" x14ac:dyDescent="0.35">
      <c r="A82" t="s">
        <v>6</v>
      </c>
    </row>
    <row r="83" spans="1:2" x14ac:dyDescent="0.35">
      <c r="B83" t="s">
        <v>690</v>
      </c>
    </row>
    <row r="84" spans="1:2" x14ac:dyDescent="0.35">
      <c r="B84" t="s">
        <v>607</v>
      </c>
    </row>
    <row r="85" spans="1:2" x14ac:dyDescent="0.35">
      <c r="B85" t="s">
        <v>248</v>
      </c>
    </row>
    <row r="86" spans="1:2" x14ac:dyDescent="0.35">
      <c r="B86" t="s">
        <v>402</v>
      </c>
    </row>
    <row r="87" spans="1:2" x14ac:dyDescent="0.35">
      <c r="B87" t="s">
        <v>217</v>
      </c>
    </row>
    <row r="88" spans="1:2" x14ac:dyDescent="0.35">
      <c r="B88" t="s">
        <v>643</v>
      </c>
    </row>
    <row r="89" spans="1:2" x14ac:dyDescent="0.35">
      <c r="B89" t="s">
        <v>551</v>
      </c>
    </row>
    <row r="90" spans="1:2" x14ac:dyDescent="0.35">
      <c r="B90" t="s">
        <v>939</v>
      </c>
    </row>
    <row r="91" spans="1:2" x14ac:dyDescent="0.35">
      <c r="B91" t="s">
        <v>147</v>
      </c>
    </row>
    <row r="92" spans="1:2" x14ac:dyDescent="0.35">
      <c r="B92" t="s">
        <v>792</v>
      </c>
    </row>
    <row r="93" spans="1:2" x14ac:dyDescent="0.35">
      <c r="B93" t="s">
        <v>655</v>
      </c>
    </row>
    <row r="94" spans="1:2" x14ac:dyDescent="0.35">
      <c r="B94" t="s">
        <v>946</v>
      </c>
    </row>
    <row r="95" spans="1:2" x14ac:dyDescent="0.35">
      <c r="A95" t="s">
        <v>7</v>
      </c>
    </row>
    <row r="96" spans="1:2" x14ac:dyDescent="0.35">
      <c r="B96" t="s">
        <v>345</v>
      </c>
    </row>
    <row r="97" spans="1:2" x14ac:dyDescent="0.35">
      <c r="B97" t="s">
        <v>288</v>
      </c>
    </row>
    <row r="98" spans="1:2" x14ac:dyDescent="0.35">
      <c r="B98" t="s">
        <v>435</v>
      </c>
    </row>
    <row r="99" spans="1:2" x14ac:dyDescent="0.35">
      <c r="B99" t="s">
        <v>170</v>
      </c>
    </row>
    <row r="100" spans="1:2" x14ac:dyDescent="0.35">
      <c r="B100" t="s">
        <v>484</v>
      </c>
    </row>
    <row r="101" spans="1:2" x14ac:dyDescent="0.35">
      <c r="B101" t="s">
        <v>478</v>
      </c>
    </row>
    <row r="102" spans="1:2" x14ac:dyDescent="0.35">
      <c r="B102" t="s">
        <v>224</v>
      </c>
    </row>
    <row r="103" spans="1:2" x14ac:dyDescent="0.35">
      <c r="B103" t="s">
        <v>230</v>
      </c>
    </row>
    <row r="104" spans="1:2" x14ac:dyDescent="0.35">
      <c r="B104" t="s">
        <v>597</v>
      </c>
    </row>
    <row r="105" spans="1:2" x14ac:dyDescent="0.35">
      <c r="B105" t="s">
        <v>195</v>
      </c>
    </row>
    <row r="106" spans="1:2" x14ac:dyDescent="0.35">
      <c r="B106" t="s">
        <v>974</v>
      </c>
    </row>
    <row r="107" spans="1:2" x14ac:dyDescent="0.35">
      <c r="B107" t="s">
        <v>803</v>
      </c>
    </row>
    <row r="108" spans="1:2" x14ac:dyDescent="0.35">
      <c r="A108" t="s">
        <v>8</v>
      </c>
    </row>
    <row r="109" spans="1:2" x14ac:dyDescent="0.35">
      <c r="B109" t="s">
        <v>735</v>
      </c>
    </row>
    <row r="110" spans="1:2" x14ac:dyDescent="0.35">
      <c r="B110" t="s">
        <v>188</v>
      </c>
    </row>
    <row r="111" spans="1:2" x14ac:dyDescent="0.35">
      <c r="B111" t="s">
        <v>798</v>
      </c>
    </row>
    <row r="112" spans="1:2" x14ac:dyDescent="0.35">
      <c r="B112" t="s">
        <v>519</v>
      </c>
    </row>
    <row r="113" spans="1:2" x14ac:dyDescent="0.35">
      <c r="B113" t="s">
        <v>556</v>
      </c>
    </row>
    <row r="114" spans="1:2" x14ac:dyDescent="0.35">
      <c r="B114" t="s">
        <v>842</v>
      </c>
    </row>
    <row r="115" spans="1:2" x14ac:dyDescent="0.35">
      <c r="B115" t="s">
        <v>524</v>
      </c>
    </row>
    <row r="116" spans="1:2" x14ac:dyDescent="0.35">
      <c r="B116" t="s">
        <v>396</v>
      </c>
    </row>
    <row r="117" spans="1:2" x14ac:dyDescent="0.35">
      <c r="B117" t="s">
        <v>473</v>
      </c>
    </row>
    <row r="118" spans="1:2" x14ac:dyDescent="0.35">
      <c r="B118" t="s">
        <v>58</v>
      </c>
    </row>
    <row r="119" spans="1:2" x14ac:dyDescent="0.35">
      <c r="B119" t="s">
        <v>813</v>
      </c>
    </row>
    <row r="120" spans="1:2" x14ac:dyDescent="0.35">
      <c r="B120" t="s">
        <v>917</v>
      </c>
    </row>
    <row r="121" spans="1:2" x14ac:dyDescent="0.35">
      <c r="A121" t="s">
        <v>9</v>
      </c>
    </row>
    <row r="122" spans="1:2" x14ac:dyDescent="0.35">
      <c r="B122" t="s">
        <v>178</v>
      </c>
    </row>
    <row r="123" spans="1:2" x14ac:dyDescent="0.35">
      <c r="B123" t="s">
        <v>772</v>
      </c>
    </row>
    <row r="124" spans="1:2" x14ac:dyDescent="0.35">
      <c r="B124" t="s">
        <v>684</v>
      </c>
    </row>
    <row r="125" spans="1:2" x14ac:dyDescent="0.35">
      <c r="B125" t="s">
        <v>454</v>
      </c>
    </row>
    <row r="126" spans="1:2" x14ac:dyDescent="0.35">
      <c r="B126" t="s">
        <v>129</v>
      </c>
    </row>
    <row r="127" spans="1:2" x14ac:dyDescent="0.35">
      <c r="B127" t="s">
        <v>740</v>
      </c>
    </row>
    <row r="128" spans="1:2" x14ac:dyDescent="0.35">
      <c r="B128" t="s">
        <v>535</v>
      </c>
    </row>
    <row r="129" spans="1:2" x14ac:dyDescent="0.35">
      <c r="B129" t="s">
        <v>703</v>
      </c>
    </row>
    <row r="130" spans="1:2" x14ac:dyDescent="0.35">
      <c r="B130" t="s">
        <v>867</v>
      </c>
    </row>
    <row r="131" spans="1:2" x14ac:dyDescent="0.35">
      <c r="B131" t="s">
        <v>723</v>
      </c>
    </row>
    <row r="132" spans="1:2" x14ac:dyDescent="0.35">
      <c r="B132" t="s">
        <v>328</v>
      </c>
    </row>
    <row r="133" spans="1:2" x14ac:dyDescent="0.35">
      <c r="B133" t="s">
        <v>745</v>
      </c>
    </row>
    <row r="134" spans="1:2" x14ac:dyDescent="0.35">
      <c r="A134" t="s">
        <v>10</v>
      </c>
    </row>
    <row r="135" spans="1:2" x14ac:dyDescent="0.35">
      <c r="B135" t="s">
        <v>650</v>
      </c>
    </row>
    <row r="136" spans="1:2" x14ac:dyDescent="0.35">
      <c r="B136" t="s">
        <v>778</v>
      </c>
    </row>
    <row r="137" spans="1:2" x14ac:dyDescent="0.35">
      <c r="B137" t="s">
        <v>709</v>
      </c>
    </row>
    <row r="138" spans="1:2" x14ac:dyDescent="0.35">
      <c r="B138" t="s">
        <v>660</v>
      </c>
    </row>
    <row r="139" spans="1:2" x14ac:dyDescent="0.35">
      <c r="B139" t="s">
        <v>750</v>
      </c>
    </row>
    <row r="140" spans="1:2" x14ac:dyDescent="0.35">
      <c r="B140" t="s">
        <v>630</v>
      </c>
    </row>
    <row r="141" spans="1:2" x14ac:dyDescent="0.35">
      <c r="B141" t="s">
        <v>764</v>
      </c>
    </row>
    <row r="142" spans="1:2" x14ac:dyDescent="0.35">
      <c r="B142" t="s">
        <v>254</v>
      </c>
    </row>
    <row r="143" spans="1:2" x14ac:dyDescent="0.35">
      <c r="B143" t="s">
        <v>851</v>
      </c>
    </row>
    <row r="144" spans="1:2" x14ac:dyDescent="0.35">
      <c r="B144" t="s">
        <v>665</v>
      </c>
    </row>
    <row r="145" spans="1:2" x14ac:dyDescent="0.35">
      <c r="B145" t="s">
        <v>862</v>
      </c>
    </row>
    <row r="146" spans="1:2" x14ac:dyDescent="0.35">
      <c r="B146" t="s">
        <v>566</v>
      </c>
    </row>
    <row r="147" spans="1:2" x14ac:dyDescent="0.35">
      <c r="A147" t="s">
        <v>11</v>
      </c>
    </row>
    <row r="148" spans="1:2" x14ac:dyDescent="0.35">
      <c r="B148" t="s">
        <v>163</v>
      </c>
    </row>
    <row r="149" spans="1:2" x14ac:dyDescent="0.35">
      <c r="B149" t="s">
        <v>699</v>
      </c>
    </row>
    <row r="150" spans="1:2" x14ac:dyDescent="0.35">
      <c r="B150" t="s">
        <v>464</v>
      </c>
    </row>
    <row r="151" spans="1:2" x14ac:dyDescent="0.35">
      <c r="B151" t="s">
        <v>386</v>
      </c>
    </row>
    <row r="152" spans="1:2" x14ac:dyDescent="0.35">
      <c r="B152" t="s">
        <v>922</v>
      </c>
    </row>
    <row r="153" spans="1:2" x14ac:dyDescent="0.35">
      <c r="B153" t="s">
        <v>380</v>
      </c>
    </row>
    <row r="154" spans="1:2" x14ac:dyDescent="0.35">
      <c r="B154" t="s">
        <v>889</v>
      </c>
    </row>
    <row r="155" spans="1:2" x14ac:dyDescent="0.35">
      <c r="B155" t="s">
        <v>350</v>
      </c>
    </row>
    <row r="156" spans="1:2" x14ac:dyDescent="0.35">
      <c r="B156" t="s">
        <v>871</v>
      </c>
    </row>
    <row r="157" spans="1:2" x14ac:dyDescent="0.35">
      <c r="B157" t="s">
        <v>155</v>
      </c>
    </row>
    <row r="158" spans="1:2" x14ac:dyDescent="0.35">
      <c r="B158" t="s">
        <v>529</v>
      </c>
    </row>
    <row r="159" spans="1:2" x14ac:dyDescent="0.35">
      <c r="B159" t="s">
        <v>714</v>
      </c>
    </row>
    <row r="160" spans="1:2" x14ac:dyDescent="0.35">
      <c r="A160" t="s">
        <v>12</v>
      </c>
    </row>
    <row r="161" spans="1:2" x14ac:dyDescent="0.35">
      <c r="B161" t="s">
        <v>362</v>
      </c>
    </row>
    <row r="162" spans="1:2" x14ac:dyDescent="0.35">
      <c r="B162" t="s">
        <v>34</v>
      </c>
    </row>
    <row r="163" spans="1:2" x14ac:dyDescent="0.35">
      <c r="B163" t="s">
        <v>97</v>
      </c>
    </row>
    <row r="164" spans="1:2" x14ac:dyDescent="0.35">
      <c r="B164" t="s">
        <v>340</v>
      </c>
    </row>
    <row r="165" spans="1:2" x14ac:dyDescent="0.35">
      <c r="B165" t="s">
        <v>669</v>
      </c>
    </row>
    <row r="166" spans="1:2" x14ac:dyDescent="0.35">
      <c r="B166" t="s">
        <v>317</v>
      </c>
    </row>
    <row r="167" spans="1:2" x14ac:dyDescent="0.35">
      <c r="B167" t="s">
        <v>68</v>
      </c>
    </row>
    <row r="168" spans="1:2" x14ac:dyDescent="0.35">
      <c r="B168" t="s">
        <v>450</v>
      </c>
    </row>
    <row r="169" spans="1:2" x14ac:dyDescent="0.35">
      <c r="B169" t="s">
        <v>335</v>
      </c>
    </row>
    <row r="170" spans="1:2" x14ac:dyDescent="0.35">
      <c r="B170" t="s">
        <v>540</v>
      </c>
    </row>
    <row r="171" spans="1:2" x14ac:dyDescent="0.35">
      <c r="B171" t="s">
        <v>490</v>
      </c>
    </row>
    <row r="172" spans="1:2" x14ac:dyDescent="0.35">
      <c r="B172" t="s">
        <v>262</v>
      </c>
    </row>
    <row r="173" spans="1:2" x14ac:dyDescent="0.35">
      <c r="A173" t="s">
        <v>13</v>
      </c>
    </row>
    <row r="174" spans="1:2" x14ac:dyDescent="0.35">
      <c r="B174" t="s">
        <v>911</v>
      </c>
    </row>
    <row r="175" spans="1:2" x14ac:dyDescent="0.35">
      <c r="B175" t="s">
        <v>576</v>
      </c>
    </row>
    <row r="176" spans="1:2" x14ac:dyDescent="0.35">
      <c r="B176" t="s">
        <v>375</v>
      </c>
    </row>
    <row r="177" spans="1:2" x14ac:dyDescent="0.35">
      <c r="B177" t="s">
        <v>202</v>
      </c>
    </row>
    <row r="178" spans="1:2" x14ac:dyDescent="0.35">
      <c r="B178" t="s">
        <v>207</v>
      </c>
    </row>
    <row r="179" spans="1:2" x14ac:dyDescent="0.35">
      <c r="B179" t="s">
        <v>728</v>
      </c>
    </row>
    <row r="180" spans="1:2" x14ac:dyDescent="0.35">
      <c r="B180" t="s">
        <v>142</v>
      </c>
    </row>
    <row r="181" spans="1:2" x14ac:dyDescent="0.35">
      <c r="B181" t="s">
        <v>501</v>
      </c>
    </row>
    <row r="182" spans="1:2" x14ac:dyDescent="0.35">
      <c r="B182" t="s">
        <v>440</v>
      </c>
    </row>
    <row r="183" spans="1:2" x14ac:dyDescent="0.35">
      <c r="B183" t="s">
        <v>112</v>
      </c>
    </row>
    <row r="184" spans="1:2" x14ac:dyDescent="0.35">
      <c r="B184" t="s">
        <v>182</v>
      </c>
    </row>
    <row r="185" spans="1:2" x14ac:dyDescent="0.35">
      <c r="B185" t="s">
        <v>74</v>
      </c>
    </row>
    <row r="186" spans="1:2" x14ac:dyDescent="0.35">
      <c r="A186" t="s">
        <v>14</v>
      </c>
    </row>
    <row r="187" spans="1:2" x14ac:dyDescent="0.35">
      <c r="B187" t="s">
        <v>418</v>
      </c>
    </row>
    <row r="188" spans="1:2" x14ac:dyDescent="0.35">
      <c r="B188" t="s">
        <v>408</v>
      </c>
    </row>
    <row r="189" spans="1:2" x14ac:dyDescent="0.35">
      <c r="B189" t="s">
        <v>831</v>
      </c>
    </row>
    <row r="190" spans="1:2" x14ac:dyDescent="0.35">
      <c r="A19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136F-966F-4138-A3DB-E0EBEA94B65E}">
  <dimension ref="A1:AP172"/>
  <sheetViews>
    <sheetView tabSelected="1" topLeftCell="H1" zoomScaleNormal="100" workbookViewId="0">
      <selection activeCell="R4" sqref="R4"/>
    </sheetView>
  </sheetViews>
  <sheetFormatPr defaultRowHeight="14.5" x14ac:dyDescent="0.35"/>
  <cols>
    <col min="1" max="1" width="12.1796875" bestFit="1" customWidth="1"/>
    <col min="2" max="2" width="10.81640625" bestFit="1" customWidth="1"/>
    <col min="3" max="3" width="39" bestFit="1" customWidth="1"/>
    <col min="5" max="5" width="15.81640625" bestFit="1" customWidth="1"/>
    <col min="6" max="6" width="26" bestFit="1" customWidth="1"/>
    <col min="7" max="8" width="26" customWidth="1"/>
    <col min="11" max="11" width="56.81640625" bestFit="1" customWidth="1"/>
    <col min="12" max="12" width="49.1796875" bestFit="1" customWidth="1"/>
    <col min="13" max="13" width="11" bestFit="1" customWidth="1"/>
    <col min="14" max="14" width="14.54296875" bestFit="1" customWidth="1"/>
    <col min="15" max="15" width="12.81640625" bestFit="1" customWidth="1"/>
    <col min="16" max="16" width="13.81640625" bestFit="1" customWidth="1"/>
    <col min="17" max="17" width="19.1796875" bestFit="1" customWidth="1"/>
  </cols>
  <sheetData>
    <row r="1" spans="1:42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42" x14ac:dyDescent="0.35">
      <c r="A2" s="7" t="s">
        <v>33</v>
      </c>
      <c r="B2" s="7">
        <v>2702232990</v>
      </c>
      <c r="C2" s="7" t="s">
        <v>34</v>
      </c>
      <c r="D2" s="7" t="s">
        <v>35</v>
      </c>
      <c r="E2" s="7" t="s">
        <v>36</v>
      </c>
      <c r="F2" s="7" t="s">
        <v>37</v>
      </c>
      <c r="G2" s="26" t="s">
        <v>38</v>
      </c>
      <c r="H2" s="26" t="s">
        <v>12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  <c r="P2" s="7" t="s">
        <v>46</v>
      </c>
      <c r="Q2" s="7" t="s">
        <v>47</v>
      </c>
    </row>
    <row r="3" spans="1:42" x14ac:dyDescent="0.35">
      <c r="A3" s="2" t="s">
        <v>48</v>
      </c>
      <c r="B3" s="2">
        <v>2702227901</v>
      </c>
      <c r="C3" s="2" t="s">
        <v>49</v>
      </c>
      <c r="D3" s="2" t="s">
        <v>50</v>
      </c>
      <c r="E3" s="2" t="s">
        <v>51</v>
      </c>
      <c r="F3" s="2" t="s">
        <v>37</v>
      </c>
      <c r="G3" s="26" t="s">
        <v>52</v>
      </c>
      <c r="H3" s="26" t="s">
        <v>2</v>
      </c>
      <c r="I3" s="2" t="s">
        <v>53</v>
      </c>
      <c r="J3" s="2" t="s">
        <v>54</v>
      </c>
      <c r="K3" s="12" t="s">
        <v>55</v>
      </c>
      <c r="L3" s="12" t="s">
        <v>56</v>
      </c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t="str" cm="1">
        <f t="array" ref="R3:AP9">_xlfn.WRAPCOLS(_xlfn._xlws.FILTER(B2:B9999&amp;" - "&amp;C2:C9999, C2:C9999&lt;&gt;""), 7, "")</f>
        <v>2702232990 - FILIP NATHAN</v>
      </c>
      <c r="S3" t="str">
        <v>2702272382 - FREDERICK KRISNA SURYOPRANOTO</v>
      </c>
      <c r="T3" t="str">
        <v>2702232321 - REYNARD SETIAWAN</v>
      </c>
      <c r="U3" t="str">
        <v>2702308810 - EDWARD NATHANAEL YUSTIAN</v>
      </c>
      <c r="V3" t="str">
        <v>2702236805 - KENZIE TIMOTHY EBENEZER</v>
      </c>
      <c r="W3" t="str">
        <v>2602074103 - IGNATIUS VARREL SANTOSO</v>
      </c>
      <c r="X3" t="str">
        <v>2702233791 - JOSHUA JONATHAN FARIMAN</v>
      </c>
      <c r="Y3" t="str">
        <v>2702261611 - VINCENTIUS AARON</v>
      </c>
      <c r="Z3" t="str">
        <v>2702328264 - SHAFA NAURA LIVKA NAYCILLA</v>
      </c>
      <c r="AA3" t="str">
        <v>2702361564 - SINTANI GINA LESTARI</v>
      </c>
      <c r="AB3" t="str">
        <v>2702260262 - SHARON HERMAWAN</v>
      </c>
      <c r="AC3" t="str">
        <v>2702379100 - SYAMANZA FIKRI APRINO PASARIBU</v>
      </c>
      <c r="AD3" t="str">
        <v>2702250053 - CHRISTOPHER EVAN WIJAKSANA</v>
      </c>
      <c r="AE3" t="str">
        <v>2702359793 - FRANSCELINO MELVYN</v>
      </c>
      <c r="AF3" t="str">
        <v>2702300234 - DARREL IMMANUEL</v>
      </c>
      <c r="AG3" t="str">
        <v>2702321352 - ABRAMS FARIZ PRAWIROYUDHO NUSWANTO</v>
      </c>
      <c r="AH3" t="str">
        <v>2702224162 - MARVIN LUCKYANTO WIJAYA</v>
      </c>
      <c r="AI3" t="str">
        <v>2702279956 - VINCENT KOO</v>
      </c>
      <c r="AJ3" t="str">
        <v>2702361961 - CHALDARREN WIJAYA</v>
      </c>
      <c r="AK3" t="str">
        <v>2702260155 - RIO FERDINAND</v>
      </c>
      <c r="AL3" t="str">
        <v>2702262431 - MUHAMMAD AGRIFIAN FERLANDA</v>
      </c>
      <c r="AM3" t="str">
        <v>2702231893 - JELVINLON BRILLIANDO</v>
      </c>
      <c r="AN3" t="str">
        <v>2502006133 - AYASHA KUNTUM AMARANTI</v>
      </c>
      <c r="AO3" t="str">
        <v>2702337350 - FARIS ZAIDAN SANTOSA</v>
      </c>
      <c r="AP3" t="str">
        <v>2702228904 - NICHOLAS NUGRAHA</v>
      </c>
    </row>
    <row r="4" spans="1:42" x14ac:dyDescent="0.35">
      <c r="A4" s="7" t="s">
        <v>57</v>
      </c>
      <c r="B4" s="7">
        <v>2702227933</v>
      </c>
      <c r="C4" s="7" t="s">
        <v>58</v>
      </c>
      <c r="D4" s="7" t="s">
        <v>59</v>
      </c>
      <c r="E4" s="7" t="s">
        <v>60</v>
      </c>
      <c r="F4" s="7" t="s">
        <v>61</v>
      </c>
      <c r="G4" s="29" t="s">
        <v>62</v>
      </c>
      <c r="H4" s="29" t="s">
        <v>8</v>
      </c>
      <c r="I4" s="7" t="s">
        <v>63</v>
      </c>
      <c r="J4" s="7" t="s">
        <v>40</v>
      </c>
      <c r="K4" s="13" t="s">
        <v>64</v>
      </c>
      <c r="L4" s="13" t="s">
        <v>65</v>
      </c>
      <c r="M4" s="13" t="s">
        <v>43</v>
      </c>
      <c r="N4" s="17">
        <v>46055</v>
      </c>
      <c r="O4" s="17">
        <v>46420</v>
      </c>
      <c r="P4" s="13" t="s">
        <v>66</v>
      </c>
      <c r="Q4" s="13" t="s">
        <v>47</v>
      </c>
      <c r="R4" t="str">
        <v>2702227901 - WILLIAM THEODORUS WIJAYA</v>
      </c>
      <c r="S4" t="str">
        <v>2702247550 - THEODORE MARVIN HENDRAWAN</v>
      </c>
      <c r="T4" t="str">
        <v>2702228223 - NOVELLINA EDYAWATI</v>
      </c>
      <c r="U4" t="str">
        <v>2702303362 - MUHAMMAD RAFI ISNAEN</v>
      </c>
      <c r="V4" t="str">
        <v>2702361652 - NABILA DANISHA PUTRI</v>
      </c>
      <c r="W4" t="str">
        <v>2702282591 - RADJA DANENDRA AL ISLAMI GUSINDATAMA</v>
      </c>
      <c r="X4" t="str">
        <v>2702262791 - SHANE RYU CAHYA</v>
      </c>
      <c r="Y4" t="str">
        <v>2702259235 - ERIKA ROSELYN HUSEN</v>
      </c>
      <c r="Z4" t="str">
        <v>2702342924 - HANS IMMANUEL JULIUS</v>
      </c>
      <c r="AA4" t="str">
        <v>2702228545 - MICHAEL CHRISTOPHER YUVI</v>
      </c>
      <c r="AB4" t="str">
        <v>2702262601 - JAMES KO</v>
      </c>
      <c r="AC4" t="str">
        <v>2702352383 - AKMAL HENDRIAN MALIK</v>
      </c>
      <c r="AD4" t="str">
        <v>2702260382 - NATHANAEL MAHARDIKA SUSILO</v>
      </c>
      <c r="AE4" t="str">
        <v>2702332330 - DWIZGA PICHAGO FIRPHA</v>
      </c>
      <c r="AF4" t="str">
        <v>2702343776 - DHARMA VIJA PUTRA SUGIANTO</v>
      </c>
      <c r="AG4" t="str">
        <v>2702358134 - RYAN HANIF DWIHANDOYO</v>
      </c>
      <c r="AH4" t="str">
        <v>2702249316 - DELON YOHAN SUNARTO</v>
      </c>
      <c r="AI4" t="str">
        <v>2702282540 - PRINCEN PUTRA KURNIAWAN</v>
      </c>
      <c r="AJ4" t="str">
        <v>2702235046 - RAFI SATRIA PUTRA SUDRAJAT</v>
      </c>
      <c r="AK4" t="str">
        <v>2702409854 - RIZKY HAFIYYAN</v>
      </c>
      <c r="AL4" t="str">
        <v>2702224175 - REGINALD LIPRI</v>
      </c>
      <c r="AM4" t="str">
        <v>2702228021 - IGNACIO PASCUAL NAIDY</v>
      </c>
      <c r="AN4" t="str">
        <v>2602207483 - FAZL ABISHA SANTOSO</v>
      </c>
      <c r="AO4" t="str">
        <v>2702358140 - NAZZAR HIBATULLAH</v>
      </c>
      <c r="AP4" t="str">
        <v>2602071940 - RAINER TIMOTHY</v>
      </c>
    </row>
    <row r="5" spans="1:42" x14ac:dyDescent="0.35">
      <c r="A5" s="2" t="s">
        <v>67</v>
      </c>
      <c r="B5" s="2">
        <v>2702273315</v>
      </c>
      <c r="C5" s="2" t="s">
        <v>68</v>
      </c>
      <c r="D5" s="2" t="s">
        <v>69</v>
      </c>
      <c r="E5" s="2" t="s">
        <v>70</v>
      </c>
      <c r="F5" s="2" t="s">
        <v>37</v>
      </c>
      <c r="G5" s="26" t="s">
        <v>38</v>
      </c>
      <c r="H5" s="26" t="s">
        <v>12</v>
      </c>
      <c r="I5" s="2" t="s">
        <v>63</v>
      </c>
      <c r="J5" s="2" t="s">
        <v>54</v>
      </c>
      <c r="K5" s="2" t="s">
        <v>41</v>
      </c>
      <c r="L5" s="2" t="s">
        <v>71</v>
      </c>
      <c r="M5" s="2" t="s">
        <v>43</v>
      </c>
      <c r="N5" s="2" t="s">
        <v>44</v>
      </c>
      <c r="O5" s="2" t="s">
        <v>45</v>
      </c>
      <c r="P5" s="2" t="s">
        <v>46</v>
      </c>
      <c r="Q5" s="2" t="s">
        <v>72</v>
      </c>
      <c r="R5" t="str">
        <v>2702227933 - TERENCE CAHYADI PRANOTO</v>
      </c>
      <c r="S5" t="str">
        <v>2702355574 - STEPANUS IMANUEL</v>
      </c>
      <c r="T5" t="str">
        <v>2702262993 - SHERLY OKTAVIA WILLISA</v>
      </c>
      <c r="U5" t="str">
        <v>2702234466 - EDUARDO RICHIE IMANUELL</v>
      </c>
      <c r="V5" t="str">
        <v>2702229176 - NADHIFA AQMARINA PUTRI</v>
      </c>
      <c r="W5" t="str">
        <v>2702334784 - BRYAN THANAYA</v>
      </c>
      <c r="X5" t="str">
        <v>2702361620 - TALITHA ZASIZKI GUNARA</v>
      </c>
      <c r="Y5" t="str">
        <v>2702259191 - STEVEN JEREMIAH</v>
      </c>
      <c r="Z5" t="str">
        <v>2702262072 - PRIHASTA KRISA ASADHA</v>
      </c>
      <c r="AA5" t="str">
        <v>2702361583 - LEONY AGUSTIN</v>
      </c>
      <c r="AB5" t="str">
        <v>2702262066 - FELIX NATAN LIM</v>
      </c>
      <c r="AC5" t="str">
        <v>2702324202 - JONATHAN HARTANTO</v>
      </c>
      <c r="AD5" t="str">
        <v>2702279621 - MONIQUE CLOUDYA BAGENSA</v>
      </c>
      <c r="AE5" t="str">
        <v>2702262476 - YOSIA OSCAR STEPHEN MARPAUNG</v>
      </c>
      <c r="AF5" t="str">
        <v>2702272193 - RIZKI FIRDAUS PURNAMA</v>
      </c>
      <c r="AG5" t="str">
        <v>2702227864 - BENEDIKTUS EVANDY UNAMO</v>
      </c>
      <c r="AH5" t="str">
        <v>2702265742 - ARVONSUS DEEVERO LIGOURI</v>
      </c>
      <c r="AI5" t="str">
        <v>2702243174 - STANLEY CHRISTIAN DARMAWAN</v>
      </c>
      <c r="AJ5" t="str">
        <v>2702379145 - ZACKY AHMAD FIRHANSYAH</v>
      </c>
      <c r="AK5" t="str">
        <v>2702309441 - JASON YOSWARA</v>
      </c>
      <c r="AL5" t="str">
        <v>2702275371 - VINCENT DEVANO</v>
      </c>
      <c r="AM5" t="str">
        <v>2702271915 - SABILA ARALIA REFINA</v>
      </c>
      <c r="AN5" t="str">
        <v>2702280301 - LUTHFI WIRADHIKA ANANTA</v>
      </c>
      <c r="AO5" t="str">
        <v>2702267281 - STANLEY THEON SIVA</v>
      </c>
      <c r="AP5" t="str">
        <v>2501976485 - MUHAMMAD DAFFA SYACH</v>
      </c>
    </row>
    <row r="6" spans="1:42" x14ac:dyDescent="0.35">
      <c r="A6" s="2" t="s">
        <v>73</v>
      </c>
      <c r="B6" s="2">
        <v>2702303330</v>
      </c>
      <c r="C6" s="2" t="s">
        <v>74</v>
      </c>
      <c r="D6" s="2" t="s">
        <v>75</v>
      </c>
      <c r="E6" s="2" t="s">
        <v>76</v>
      </c>
      <c r="F6" s="2" t="s">
        <v>37</v>
      </c>
      <c r="G6" s="29" t="s">
        <v>77</v>
      </c>
      <c r="H6" s="29" t="s">
        <v>13</v>
      </c>
      <c r="I6" s="2" t="s">
        <v>63</v>
      </c>
      <c r="J6" s="2" t="s">
        <v>54</v>
      </c>
      <c r="K6" s="12" t="s">
        <v>78</v>
      </c>
      <c r="L6" s="12" t="s">
        <v>79</v>
      </c>
      <c r="M6" s="12" t="s">
        <v>80</v>
      </c>
      <c r="N6" s="12" t="s">
        <v>81</v>
      </c>
      <c r="O6" s="12" t="s">
        <v>82</v>
      </c>
      <c r="P6" s="12" t="s">
        <v>83</v>
      </c>
      <c r="Q6" s="12" t="s">
        <v>72</v>
      </c>
      <c r="R6" t="str">
        <v>2702273315 - KENNETH SUNJAYA</v>
      </c>
      <c r="S6" t="str">
        <v>2702260086 - EZRELA FIDELYNN SURYA WIBISANA</v>
      </c>
      <c r="T6" t="str">
        <v>2702327684 - DAMIEN HERLNATA</v>
      </c>
      <c r="U6" t="str">
        <v>2702239681 - EMANUELLE FRIZZIA DARREN SUHERMAN</v>
      </c>
      <c r="V6" t="str">
        <v>2702228734 - GIOVANO JULIAN SOMANTRY</v>
      </c>
      <c r="W6" t="str">
        <v>2702319051 - CALVIN ANDREAS</v>
      </c>
      <c r="X6" t="str">
        <v>2702250261 - MICHAEL WIJAYA</v>
      </c>
      <c r="Y6" t="str">
        <v>2702267211 - DENZEL MALIK IBRAHIM</v>
      </c>
      <c r="Z6" t="str">
        <v>2702361280 - AKBAR KHALIFA JAYADININGRAT</v>
      </c>
      <c r="AA6" t="str">
        <v>2702341871 - IVAN HERNANDO</v>
      </c>
      <c r="AB6" t="str">
        <v>2702275535 - REINHARD EFRAIM ADRIEL JONATHAN</v>
      </c>
      <c r="AC6" t="str">
        <v>2702374535 - SABILILLAH RAMANIYA WIDODO</v>
      </c>
      <c r="AD6" t="str">
        <v>2702262564 - REYNARD ADRIAN TJAKRASENDJAJA</v>
      </c>
      <c r="AE6" t="str">
        <v>2702331763 - LAVINIA NATANIELA NOVYANDI</v>
      </c>
      <c r="AF6" t="str">
        <v>2702228141 - DARRYL DELVIN</v>
      </c>
      <c r="AG6" t="str">
        <v>2702358191 - GARRETH JECONIO BUDI UTOMO</v>
      </c>
      <c r="AH6" t="str">
        <v>2702385671 - CANDRA HIDAYATTULOH</v>
      </c>
      <c r="AI6" t="str">
        <v>2702361545 - MUHAMAD RIZQULLAH ICHSON</v>
      </c>
      <c r="AJ6" t="str">
        <v>2702324253 - DJUHAR GEUSAN HARUM MANIK</v>
      </c>
      <c r="AK6" t="str">
        <v>2702262444 - SEAN PHILIP</v>
      </c>
      <c r="AL6" t="str">
        <v>2702272281 - RADEN TORA DEYANTORO</v>
      </c>
      <c r="AM6" t="str">
        <v>2702262620 - RIZKY HILAL RAMADHAN</v>
      </c>
      <c r="AN6" t="str">
        <v>2702249272 - BHIMO ARYO NURRAHMAN</v>
      </c>
      <c r="AO6" t="str">
        <v>2702321365 - SULTAN DANDY FERDIAN</v>
      </c>
      <c r="AP6" t="str">
        <v/>
      </c>
    </row>
    <row r="7" spans="1:42" x14ac:dyDescent="0.35">
      <c r="A7" s="7" t="s">
        <v>84</v>
      </c>
      <c r="B7" s="7">
        <v>2702331782</v>
      </c>
      <c r="C7" s="7" t="s">
        <v>85</v>
      </c>
      <c r="D7" s="7" t="s">
        <v>86</v>
      </c>
      <c r="E7" s="7" t="s">
        <v>87</v>
      </c>
      <c r="F7" s="7" t="s">
        <v>37</v>
      </c>
      <c r="G7" s="26" t="s">
        <v>52</v>
      </c>
      <c r="H7" s="26" t="s">
        <v>2</v>
      </c>
      <c r="I7" s="7" t="s">
        <v>88</v>
      </c>
      <c r="J7" s="7" t="s">
        <v>40</v>
      </c>
      <c r="K7" s="11" t="s">
        <v>89</v>
      </c>
      <c r="L7" s="11" t="s">
        <v>71</v>
      </c>
      <c r="M7" s="11" t="s">
        <v>43</v>
      </c>
      <c r="N7" s="11" t="s">
        <v>44</v>
      </c>
      <c r="O7" s="11" t="s">
        <v>45</v>
      </c>
      <c r="P7" s="11" t="s">
        <v>83</v>
      </c>
      <c r="Q7" s="11" t="s">
        <v>72</v>
      </c>
      <c r="R7" t="str">
        <v>2702303330 - TOHRU DJUNAEDI SATO</v>
      </c>
      <c r="S7" t="str">
        <v>2702228236 - GABRIELLE JECONIAH CHRISTIANDO</v>
      </c>
      <c r="T7" t="str">
        <v>2702245431 - DAVIN MIGUEL SANJAYA</v>
      </c>
      <c r="U7" t="str">
        <v>2702228892 - NELSON FERDINAND WANGSAPUTRA</v>
      </c>
      <c r="V7" t="str">
        <v>2702327583 - DUSTIN MANUEL</v>
      </c>
      <c r="W7" t="str">
        <v>2702275485 - ELISSA PATRICIA</v>
      </c>
      <c r="X7" t="str">
        <v>2702233311 - JACKNIUS</v>
      </c>
      <c r="Y7" t="str">
        <v>2702374592 - LUQMAN NURHOIRIZA</v>
      </c>
      <c r="Z7" t="str">
        <v>2702223273 - VINNERA MARVELLINE</v>
      </c>
      <c r="AA7" t="str">
        <v>2702260306 - TRISTAN NAFI AGUNG KURNIAWAN</v>
      </c>
      <c r="AB7" t="str">
        <v>2702280043 - NUGRAHA BYRU SAPPHIRE</v>
      </c>
      <c r="AC7" t="str">
        <v>2702328043 - SULTAN BINTANG RAMADHAN</v>
      </c>
      <c r="AD7" t="str">
        <v>2702230966 - SHIRLEY GOENAWAN</v>
      </c>
      <c r="AE7" t="str">
        <v>2702267262 - SALMA MUNTAZ SHAUMI</v>
      </c>
      <c r="AF7" t="str">
        <v>2702231981 - KATRIN MANALU</v>
      </c>
      <c r="AG7" t="str">
        <v>2702236055 - JONATHAN CHRISTIAN</v>
      </c>
      <c r="AH7" t="str">
        <v>2702262394 - GABRIELLE JANELYN NATASHA SUHALIM</v>
      </c>
      <c r="AI7" t="str">
        <v>2702233532 - DESCA KRISNANTA</v>
      </c>
      <c r="AJ7" t="str">
        <v>2702267174 - CHRIS BERNARD</v>
      </c>
      <c r="AK7" t="str">
        <v>2702362024 - M. NAUFAL ARFA MAHZUZA</v>
      </c>
      <c r="AL7" t="str">
        <v>2702320305 - MUHAMAD ZEFA HERYANA</v>
      </c>
      <c r="AM7" t="str">
        <v>2702379473 - NADILA ZINDI AULIA PUTRI</v>
      </c>
      <c r="AN7" t="str">
        <v>2702282370 - ZERY GALLANTA SASONGKO</v>
      </c>
      <c r="AO7" t="str">
        <v>2702301205 - MUHAMMAD IRHAM RIZQ</v>
      </c>
      <c r="AP7" t="str">
        <v/>
      </c>
    </row>
    <row r="8" spans="1:42" x14ac:dyDescent="0.35">
      <c r="A8" s="7" t="s">
        <v>90</v>
      </c>
      <c r="B8" s="7">
        <v>2702227946</v>
      </c>
      <c r="C8" s="7" t="s">
        <v>91</v>
      </c>
      <c r="D8" s="7" t="s">
        <v>92</v>
      </c>
      <c r="E8" s="7" t="s">
        <v>93</v>
      </c>
      <c r="F8" s="7" t="s">
        <v>37</v>
      </c>
      <c r="G8" s="26" t="s">
        <v>52</v>
      </c>
      <c r="H8" s="26" t="s">
        <v>2</v>
      </c>
      <c r="I8" s="7" t="s">
        <v>94</v>
      </c>
      <c r="J8" s="7" t="s">
        <v>54</v>
      </c>
      <c r="K8" s="14" t="s">
        <v>95</v>
      </c>
      <c r="L8" s="14" t="s">
        <v>56</v>
      </c>
      <c r="M8" s="14" t="s">
        <v>43</v>
      </c>
      <c r="N8" s="15">
        <v>46055</v>
      </c>
      <c r="O8" s="15">
        <v>46420</v>
      </c>
      <c r="P8" s="14" t="s">
        <v>46</v>
      </c>
      <c r="Q8" s="14" t="s">
        <v>47</v>
      </c>
      <c r="R8" t="str">
        <v>2702331782 - JEREMY AXEL SURYAMIHARJA</v>
      </c>
      <c r="S8" t="str">
        <v>2702261580 - JAYSON KELVIN</v>
      </c>
      <c r="T8" t="str">
        <v>2702341890 - ALBERTUS JANUARIO</v>
      </c>
      <c r="U8" t="str">
        <v>2702239750 - MIKHAEL HENOKH SANTOSO</v>
      </c>
      <c r="V8" t="str">
        <v>2702252134 - RENJI EARL KURNIAWAN</v>
      </c>
      <c r="W8" t="str">
        <v>2702261574 - JASON MATTHEW</v>
      </c>
      <c r="X8" t="str">
        <v>2702272003 - ANTONIUS WILLIAM WIJAYA</v>
      </c>
      <c r="Y8" t="str">
        <v>2702259090 - JOANNES JASON SUTISNA</v>
      </c>
      <c r="Z8" t="str">
        <v>2702337382 - MICHELE GABRIELA</v>
      </c>
      <c r="AA8" t="str">
        <v>2702228242 - GREGORIUS IRAWAN</v>
      </c>
      <c r="AB8" t="str">
        <v>2702296016 - SEBASTIAN DARREN</v>
      </c>
      <c r="AC8" t="str">
        <v>2702339835 - MUHAMMAD AZKA SANTIA RAHMATULLAH</v>
      </c>
      <c r="AD8" t="str">
        <v>2702314460 - NAUFAL GHIFARI HIDAYAT</v>
      </c>
      <c r="AE8" t="str">
        <v>2702231861 - GILMORE</v>
      </c>
      <c r="AF8" t="str">
        <v>2702232984 - ERWIN ROMMEL</v>
      </c>
      <c r="AG8" t="str">
        <v>2702228886 - MATTHEW HIUTAMA</v>
      </c>
      <c r="AH8" t="str">
        <v>2702232675 - RUEBEN GABRIEL ISMAIL</v>
      </c>
      <c r="AI8" t="str">
        <v>2702236111 - JESSICA GIOVANNA CHANDRA</v>
      </c>
      <c r="AJ8" t="str">
        <v>2702304592 - ALBANY SISWANTO</v>
      </c>
      <c r="AK8" t="str">
        <v>2702227984 - WIJAYA PRATAMA SUTEJA</v>
      </c>
      <c r="AL8" t="str">
        <v>2702239725 - MICKO STEFANUS</v>
      </c>
      <c r="AM8" t="str">
        <v>2702283171 - YANSEN KANGARA</v>
      </c>
      <c r="AN8" t="str">
        <v>2702362030 - KEVIN ARJUNA STEFFERS</v>
      </c>
      <c r="AO8" t="str">
        <v>2702227971 - ANDRE PRADHIT RAFI ALAMSYAH</v>
      </c>
      <c r="AP8" t="str">
        <v/>
      </c>
    </row>
    <row r="9" spans="1:42" x14ac:dyDescent="0.35">
      <c r="A9" s="7" t="s">
        <v>96</v>
      </c>
      <c r="B9" s="7">
        <v>2702272382</v>
      </c>
      <c r="C9" s="7" t="s">
        <v>97</v>
      </c>
      <c r="D9" s="7" t="s">
        <v>98</v>
      </c>
      <c r="E9" s="7" t="s">
        <v>99</v>
      </c>
      <c r="F9" s="7" t="s">
        <v>37</v>
      </c>
      <c r="G9" s="26" t="s">
        <v>38</v>
      </c>
      <c r="H9" s="26" t="s">
        <v>12</v>
      </c>
      <c r="I9" s="7" t="s">
        <v>100</v>
      </c>
      <c r="J9" s="7" t="s">
        <v>54</v>
      </c>
      <c r="K9" s="7" t="s">
        <v>41</v>
      </c>
      <c r="L9" s="7" t="s">
        <v>42</v>
      </c>
      <c r="M9" s="7" t="s">
        <v>43</v>
      </c>
      <c r="N9" s="7" t="s">
        <v>44</v>
      </c>
      <c r="O9" s="7" t="s">
        <v>45</v>
      </c>
      <c r="P9" s="7" t="s">
        <v>46</v>
      </c>
      <c r="Q9" s="7" t="s">
        <v>72</v>
      </c>
      <c r="R9" t="str">
        <v>2702227946 - YOEL KHARIS WIJAYA WONG</v>
      </c>
      <c r="S9" t="str">
        <v>2702228274 - MICHAEL SUTHIRTA</v>
      </c>
      <c r="T9" t="str">
        <v>2702352250 - THEONA ARLINTON</v>
      </c>
      <c r="U9" t="str">
        <v>2702352414 - JAMES TANUWIJAYA</v>
      </c>
      <c r="V9" t="str">
        <v>2702252102 - ALVIN JONATHAN</v>
      </c>
      <c r="W9" t="str">
        <v>2702286412 - IMMANUEL SINAGA</v>
      </c>
      <c r="X9" t="str">
        <v>2702320210 - NATASHA DIAN MAHARDITA</v>
      </c>
      <c r="Y9" t="str">
        <v>2702343523 - PAZELLA MUTIA REFLIN</v>
      </c>
      <c r="Z9" t="str">
        <v>2702232971 - CHERYL AVELIA</v>
      </c>
      <c r="AA9" t="str">
        <v>2702234491 - JONATHAN TANUSEPUTRA</v>
      </c>
      <c r="AB9" t="str">
        <v>2702228873 - JOSE AUSTIN</v>
      </c>
      <c r="AC9" t="str">
        <v>2702232050 - NICHOLAS RICHARD CIAYADI</v>
      </c>
      <c r="AD9" t="str">
        <v>2702379132 - CELINA SALSA SADILLA</v>
      </c>
      <c r="AE9" t="str">
        <v>2702280421 - JOEVAN PHILBERT MORROW YOHANSHA</v>
      </c>
      <c r="AF9" t="str">
        <v>2702380891 - MUHAMMAD ROBBY KUSUMAH</v>
      </c>
      <c r="AG9" t="str">
        <v>2702233785 - JONATHAN CHRISTIAN</v>
      </c>
      <c r="AH9" t="str">
        <v>2702231104 - ASHABUL YAMIN AL'MUFAIZ</v>
      </c>
      <c r="AI9" t="str">
        <v>2602208750 - WAN MOHAMAD AXEL RINALDI</v>
      </c>
      <c r="AJ9" t="str">
        <v>2702309403 - DARREN TEODUS MEDHIK</v>
      </c>
      <c r="AK9" t="str">
        <v>2702275604 - NISA JAMALIA HANIF</v>
      </c>
      <c r="AL9" t="str">
        <v>2702345011 - FAKHRI DWIPUTRA</v>
      </c>
      <c r="AM9" t="str">
        <v>2702262816 - MARCELLUS GERALDIO FLORENTA</v>
      </c>
      <c r="AN9" t="str">
        <v>2702309353 - AHMAD AMIRULFALAH AFFANDINOV</v>
      </c>
      <c r="AO9" t="str">
        <v>2702277042 - ZORIICK</v>
      </c>
      <c r="AP9" t="str">
        <v/>
      </c>
    </row>
    <row r="10" spans="1:42" x14ac:dyDescent="0.35">
      <c r="A10" s="2" t="s">
        <v>101</v>
      </c>
      <c r="B10" s="2">
        <v>2702247550</v>
      </c>
      <c r="C10" s="2" t="s">
        <v>102</v>
      </c>
      <c r="D10" s="2" t="s">
        <v>103</v>
      </c>
      <c r="E10" s="2" t="s">
        <v>104</v>
      </c>
      <c r="F10" s="2" t="s">
        <v>37</v>
      </c>
      <c r="G10" s="26" t="s">
        <v>105</v>
      </c>
      <c r="H10" s="26" t="s">
        <v>4</v>
      </c>
      <c r="I10" s="2" t="s">
        <v>106</v>
      </c>
      <c r="J10" s="2" t="s">
        <v>40</v>
      </c>
      <c r="K10" s="3" t="s">
        <v>107</v>
      </c>
      <c r="L10" s="3" t="s">
        <v>108</v>
      </c>
      <c r="M10" s="3" t="s">
        <v>109</v>
      </c>
      <c r="N10" s="4">
        <v>46055</v>
      </c>
      <c r="O10" s="3" t="s">
        <v>110</v>
      </c>
      <c r="P10" s="3" t="s">
        <v>46</v>
      </c>
      <c r="Q10" s="3" t="s">
        <v>47</v>
      </c>
    </row>
    <row r="11" spans="1:42" x14ac:dyDescent="0.35">
      <c r="A11" s="7" t="s">
        <v>111</v>
      </c>
      <c r="B11" s="7">
        <v>2702355574</v>
      </c>
      <c r="C11" s="7" t="s">
        <v>112</v>
      </c>
      <c r="D11" s="7" t="s">
        <v>113</v>
      </c>
      <c r="E11" s="7" t="s">
        <v>114</v>
      </c>
      <c r="F11" s="7" t="s">
        <v>37</v>
      </c>
      <c r="G11" s="26" t="s">
        <v>77</v>
      </c>
      <c r="H11" s="26" t="s">
        <v>13</v>
      </c>
      <c r="I11" s="7" t="s">
        <v>106</v>
      </c>
      <c r="J11" s="7" t="s">
        <v>54</v>
      </c>
      <c r="K11" s="11" t="s">
        <v>78</v>
      </c>
      <c r="L11" s="11" t="s">
        <v>79</v>
      </c>
      <c r="M11" s="11" t="s">
        <v>80</v>
      </c>
      <c r="N11" s="11" t="s">
        <v>81</v>
      </c>
      <c r="O11" s="11" t="s">
        <v>82</v>
      </c>
      <c r="P11" s="11" t="s">
        <v>83</v>
      </c>
      <c r="Q11" s="11" t="s">
        <v>72</v>
      </c>
    </row>
    <row r="12" spans="1:42" x14ac:dyDescent="0.35">
      <c r="A12" s="7" t="s">
        <v>115</v>
      </c>
      <c r="B12" s="7">
        <v>2702260086</v>
      </c>
      <c r="C12" s="7" t="s">
        <v>116</v>
      </c>
      <c r="D12" s="7" t="s">
        <v>117</v>
      </c>
      <c r="E12" s="7" t="s">
        <v>118</v>
      </c>
      <c r="F12" s="7" t="s">
        <v>37</v>
      </c>
      <c r="G12" s="26" t="s">
        <v>52</v>
      </c>
      <c r="H12" s="26" t="s">
        <v>2</v>
      </c>
      <c r="I12" s="7" t="s">
        <v>119</v>
      </c>
      <c r="J12" s="7" t="s">
        <v>40</v>
      </c>
      <c r="K12" s="13" t="s">
        <v>120</v>
      </c>
      <c r="L12" s="13" t="s">
        <v>121</v>
      </c>
      <c r="M12" s="13" t="s">
        <v>43</v>
      </c>
      <c r="N12" s="17">
        <v>46055</v>
      </c>
      <c r="O12" s="17">
        <v>46420</v>
      </c>
      <c r="P12" s="13" t="s">
        <v>122</v>
      </c>
      <c r="Q12" s="13" t="s">
        <v>47</v>
      </c>
    </row>
    <row r="13" spans="1:42" x14ac:dyDescent="0.35">
      <c r="A13" s="7" t="s">
        <v>123</v>
      </c>
      <c r="B13" s="7">
        <v>2702228236</v>
      </c>
      <c r="C13" s="7" t="s">
        <v>124</v>
      </c>
      <c r="D13" s="7" t="s">
        <v>125</v>
      </c>
      <c r="E13" s="7" t="s">
        <v>126</v>
      </c>
      <c r="F13" s="7" t="s">
        <v>37</v>
      </c>
      <c r="G13" s="26" t="s">
        <v>52</v>
      </c>
      <c r="H13" s="26" t="s">
        <v>2</v>
      </c>
      <c r="I13" s="7" t="s">
        <v>119</v>
      </c>
      <c r="J13" s="7" t="s">
        <v>54</v>
      </c>
      <c r="K13" s="14" t="s">
        <v>127</v>
      </c>
      <c r="L13" s="14" t="s">
        <v>121</v>
      </c>
      <c r="M13" s="14" t="s">
        <v>109</v>
      </c>
      <c r="N13" s="15">
        <v>46055</v>
      </c>
      <c r="O13" s="15">
        <v>46061</v>
      </c>
      <c r="P13" s="14" t="s">
        <v>46</v>
      </c>
      <c r="Q13" s="14" t="s">
        <v>47</v>
      </c>
    </row>
    <row r="14" spans="1:42" x14ac:dyDescent="0.35">
      <c r="A14" s="7" t="s">
        <v>128</v>
      </c>
      <c r="B14" s="7">
        <v>2702261580</v>
      </c>
      <c r="C14" s="7" t="s">
        <v>129</v>
      </c>
      <c r="D14" s="7" t="s">
        <v>130</v>
      </c>
      <c r="E14" s="7" t="s">
        <v>131</v>
      </c>
      <c r="F14" s="7" t="s">
        <v>37</v>
      </c>
      <c r="G14" s="26" t="s">
        <v>132</v>
      </c>
      <c r="H14" s="26" t="s">
        <v>9</v>
      </c>
      <c r="I14" s="7" t="s">
        <v>119</v>
      </c>
      <c r="J14" s="7" t="s">
        <v>40</v>
      </c>
      <c r="K14" s="7" t="s">
        <v>133</v>
      </c>
      <c r="L14" s="7" t="s">
        <v>134</v>
      </c>
      <c r="M14" s="7" t="s">
        <v>43</v>
      </c>
      <c r="N14" s="7" t="s">
        <v>44</v>
      </c>
      <c r="O14" s="7" t="s">
        <v>45</v>
      </c>
      <c r="P14" s="7" t="s">
        <v>46</v>
      </c>
      <c r="Q14" s="7" t="s">
        <v>47</v>
      </c>
    </row>
    <row r="15" spans="1:42" x14ac:dyDescent="0.35">
      <c r="A15" s="7" t="s">
        <v>135</v>
      </c>
      <c r="B15" s="7">
        <v>2702228274</v>
      </c>
      <c r="C15" s="7" t="s">
        <v>136</v>
      </c>
      <c r="D15" s="7" t="s">
        <v>137</v>
      </c>
      <c r="E15" s="7" t="s">
        <v>138</v>
      </c>
      <c r="F15" s="7" t="s">
        <v>37</v>
      </c>
      <c r="G15" s="26" t="s">
        <v>52</v>
      </c>
      <c r="H15" s="26" t="s">
        <v>2</v>
      </c>
      <c r="I15" s="7" t="s">
        <v>139</v>
      </c>
      <c r="J15" s="7" t="s">
        <v>40</v>
      </c>
      <c r="K15" s="11" t="s">
        <v>140</v>
      </c>
      <c r="L15" s="11" t="s">
        <v>71</v>
      </c>
      <c r="M15" s="11" t="s">
        <v>43</v>
      </c>
      <c r="N15" s="11" t="s">
        <v>44</v>
      </c>
      <c r="O15" s="11" t="s">
        <v>45</v>
      </c>
      <c r="P15" s="11" t="s">
        <v>46</v>
      </c>
      <c r="Q15" s="11" t="s">
        <v>47</v>
      </c>
    </row>
    <row r="16" spans="1:42" x14ac:dyDescent="0.35">
      <c r="A16" s="7" t="s">
        <v>141</v>
      </c>
      <c r="B16" s="7">
        <v>2702232321</v>
      </c>
      <c r="C16" s="7" t="s">
        <v>142</v>
      </c>
      <c r="D16" s="7" t="s">
        <v>143</v>
      </c>
      <c r="E16" s="7" t="s">
        <v>144</v>
      </c>
      <c r="F16" s="7" t="s">
        <v>37</v>
      </c>
      <c r="G16" s="26" t="s">
        <v>77</v>
      </c>
      <c r="H16" s="26" t="s">
        <v>13</v>
      </c>
      <c r="I16" s="7" t="s">
        <v>145</v>
      </c>
      <c r="J16" s="7" t="s">
        <v>54</v>
      </c>
      <c r="K16" s="11" t="s">
        <v>78</v>
      </c>
      <c r="L16" s="11" t="s">
        <v>79</v>
      </c>
      <c r="M16" s="11" t="s">
        <v>80</v>
      </c>
      <c r="N16" s="11" t="s">
        <v>81</v>
      </c>
      <c r="O16" s="11" t="s">
        <v>82</v>
      </c>
      <c r="P16" s="11" t="s">
        <v>83</v>
      </c>
      <c r="Q16" s="11" t="s">
        <v>72</v>
      </c>
    </row>
    <row r="17" spans="1:17" x14ac:dyDescent="0.35">
      <c r="A17" s="2" t="s">
        <v>146</v>
      </c>
      <c r="B17" s="2">
        <v>2702228223</v>
      </c>
      <c r="C17" s="2" t="s">
        <v>147</v>
      </c>
      <c r="D17" s="2" t="s">
        <v>148</v>
      </c>
      <c r="E17" s="2" t="s">
        <v>149</v>
      </c>
      <c r="F17" s="2" t="s">
        <v>37</v>
      </c>
      <c r="G17" s="26" t="s">
        <v>150</v>
      </c>
      <c r="H17" s="26" t="s">
        <v>6</v>
      </c>
      <c r="I17" s="2" t="s">
        <v>151</v>
      </c>
      <c r="J17" s="2" t="s">
        <v>54</v>
      </c>
      <c r="K17" s="2" t="s">
        <v>152</v>
      </c>
      <c r="L17" s="2" t="s">
        <v>56</v>
      </c>
      <c r="M17" s="2" t="s">
        <v>43</v>
      </c>
      <c r="N17" s="2" t="s">
        <v>44</v>
      </c>
      <c r="O17" s="2" t="s">
        <v>153</v>
      </c>
      <c r="P17" s="2" t="s">
        <v>122</v>
      </c>
      <c r="Q17" s="2" t="s">
        <v>47</v>
      </c>
    </row>
    <row r="18" spans="1:17" x14ac:dyDescent="0.35">
      <c r="A18" s="2" t="s">
        <v>154</v>
      </c>
      <c r="B18" s="2">
        <v>2702262993</v>
      </c>
      <c r="C18" s="2" t="s">
        <v>155</v>
      </c>
      <c r="D18" s="2" t="s">
        <v>156</v>
      </c>
      <c r="E18" s="2" t="s">
        <v>157</v>
      </c>
      <c r="F18" s="2" t="s">
        <v>37</v>
      </c>
      <c r="G18" s="26" t="s">
        <v>158</v>
      </c>
      <c r="H18" s="26" t="s">
        <v>11</v>
      </c>
      <c r="I18" s="2" t="s">
        <v>159</v>
      </c>
      <c r="J18" s="2" t="s">
        <v>54</v>
      </c>
      <c r="K18" s="3" t="s">
        <v>160</v>
      </c>
      <c r="L18" s="3" t="s">
        <v>161</v>
      </c>
      <c r="M18" s="3" t="s">
        <v>43</v>
      </c>
      <c r="N18" s="4">
        <v>46055</v>
      </c>
      <c r="O18" s="3" t="s">
        <v>45</v>
      </c>
      <c r="P18" s="3" t="s">
        <v>46</v>
      </c>
      <c r="Q18" s="3" t="s">
        <v>47</v>
      </c>
    </row>
    <row r="19" spans="1:17" x14ac:dyDescent="0.35">
      <c r="A19" s="7" t="s">
        <v>162</v>
      </c>
      <c r="B19" s="7">
        <v>2702327684</v>
      </c>
      <c r="C19" s="7" t="s">
        <v>163</v>
      </c>
      <c r="D19" s="7" t="s">
        <v>164</v>
      </c>
      <c r="E19" s="7" t="s">
        <v>165</v>
      </c>
      <c r="F19" s="7" t="s">
        <v>37</v>
      </c>
      <c r="G19" s="26" t="s">
        <v>158</v>
      </c>
      <c r="H19" s="26" t="s">
        <v>11</v>
      </c>
      <c r="I19" s="7" t="s">
        <v>159</v>
      </c>
      <c r="J19" s="7" t="s">
        <v>54</v>
      </c>
      <c r="K19" s="7" t="s">
        <v>166</v>
      </c>
      <c r="L19" s="7" t="s">
        <v>71</v>
      </c>
      <c r="M19" s="7" t="s">
        <v>43</v>
      </c>
      <c r="N19" s="7" t="s">
        <v>167</v>
      </c>
      <c r="O19" s="7" t="s">
        <v>168</v>
      </c>
      <c r="P19" s="7" t="s">
        <v>46</v>
      </c>
      <c r="Q19" s="7" t="s">
        <v>72</v>
      </c>
    </row>
    <row r="20" spans="1:17" x14ac:dyDescent="0.35">
      <c r="A20" s="2" t="s">
        <v>169</v>
      </c>
      <c r="B20" s="2">
        <v>2702245431</v>
      </c>
      <c r="C20" s="2" t="s">
        <v>170</v>
      </c>
      <c r="D20" s="2" t="s">
        <v>171</v>
      </c>
      <c r="E20" s="2" t="s">
        <v>172</v>
      </c>
      <c r="F20" s="2" t="s">
        <v>37</v>
      </c>
      <c r="G20" s="26" t="s">
        <v>173</v>
      </c>
      <c r="H20" s="26" t="s">
        <v>7</v>
      </c>
      <c r="I20" s="2" t="s">
        <v>174</v>
      </c>
      <c r="J20" s="2" t="s">
        <v>54</v>
      </c>
      <c r="K20" s="2" t="s">
        <v>175</v>
      </c>
      <c r="L20" s="2" t="s">
        <v>176</v>
      </c>
      <c r="M20" s="2" t="s">
        <v>43</v>
      </c>
      <c r="N20" s="2" t="s">
        <v>44</v>
      </c>
      <c r="O20" s="2" t="s">
        <v>45</v>
      </c>
      <c r="P20" s="2" t="s">
        <v>83</v>
      </c>
      <c r="Q20" s="2" t="s">
        <v>47</v>
      </c>
    </row>
    <row r="21" spans="1:17" x14ac:dyDescent="0.35">
      <c r="A21" s="7" t="s">
        <v>177</v>
      </c>
      <c r="B21" s="7">
        <v>2702341890</v>
      </c>
      <c r="C21" s="7" t="s">
        <v>178</v>
      </c>
      <c r="D21" s="7" t="s">
        <v>179</v>
      </c>
      <c r="E21" s="7" t="s">
        <v>180</v>
      </c>
      <c r="F21" s="7" t="s">
        <v>37</v>
      </c>
      <c r="G21" s="26" t="s">
        <v>132</v>
      </c>
      <c r="H21" s="26" t="s">
        <v>9</v>
      </c>
      <c r="I21" s="7" t="s">
        <v>174</v>
      </c>
      <c r="J21" s="7" t="s">
        <v>54</v>
      </c>
      <c r="K21" s="11" t="s">
        <v>133</v>
      </c>
      <c r="L21" s="11" t="s">
        <v>134</v>
      </c>
      <c r="M21" s="11" t="s">
        <v>43</v>
      </c>
      <c r="N21" s="11" t="s">
        <v>44</v>
      </c>
      <c r="O21" s="11" t="s">
        <v>45</v>
      </c>
      <c r="P21" s="11" t="s">
        <v>46</v>
      </c>
      <c r="Q21" s="11" t="s">
        <v>47</v>
      </c>
    </row>
    <row r="22" spans="1:17" x14ac:dyDescent="0.35">
      <c r="A22" s="7" t="s">
        <v>181</v>
      </c>
      <c r="B22" s="7">
        <v>2702352250</v>
      </c>
      <c r="C22" s="7" t="s">
        <v>182</v>
      </c>
      <c r="D22" s="7" t="s">
        <v>183</v>
      </c>
      <c r="E22" s="7" t="s">
        <v>184</v>
      </c>
      <c r="F22" s="7" t="s">
        <v>37</v>
      </c>
      <c r="G22" s="29" t="s">
        <v>77</v>
      </c>
      <c r="H22" s="29" t="s">
        <v>13</v>
      </c>
      <c r="I22" s="7" t="s">
        <v>185</v>
      </c>
      <c r="J22" s="7" t="s">
        <v>54</v>
      </c>
      <c r="K22" s="7" t="s">
        <v>78</v>
      </c>
      <c r="L22" s="7" t="s">
        <v>79</v>
      </c>
      <c r="M22" s="7" t="s">
        <v>80</v>
      </c>
      <c r="N22" s="7" t="s">
        <v>186</v>
      </c>
      <c r="O22" s="7" t="s">
        <v>82</v>
      </c>
      <c r="P22" s="7" t="s">
        <v>46</v>
      </c>
      <c r="Q22" s="7" t="s">
        <v>72</v>
      </c>
    </row>
    <row r="23" spans="1:17" x14ac:dyDescent="0.35">
      <c r="A23" s="2" t="s">
        <v>187</v>
      </c>
      <c r="B23" s="2">
        <v>2702308810</v>
      </c>
      <c r="C23" s="2" t="s">
        <v>188</v>
      </c>
      <c r="D23" s="2" t="s">
        <v>189</v>
      </c>
      <c r="E23" s="2" t="s">
        <v>190</v>
      </c>
      <c r="F23" s="2" t="s">
        <v>37</v>
      </c>
      <c r="G23" s="26" t="s">
        <v>62</v>
      </c>
      <c r="H23" s="26" t="s">
        <v>8</v>
      </c>
      <c r="I23" s="2" t="s">
        <v>191</v>
      </c>
      <c r="J23" s="2" t="s">
        <v>54</v>
      </c>
      <c r="K23" s="3" t="s">
        <v>192</v>
      </c>
      <c r="L23" s="3" t="s">
        <v>193</v>
      </c>
      <c r="M23" s="3" t="s">
        <v>43</v>
      </c>
      <c r="N23" s="4">
        <v>46055</v>
      </c>
      <c r="O23" s="4">
        <v>46389</v>
      </c>
      <c r="P23" s="3" t="s">
        <v>46</v>
      </c>
      <c r="Q23" s="3" t="s">
        <v>47</v>
      </c>
    </row>
    <row r="24" spans="1:17" x14ac:dyDescent="0.35">
      <c r="A24" s="7" t="s">
        <v>194</v>
      </c>
      <c r="B24" s="7">
        <v>2702303362</v>
      </c>
      <c r="C24" s="7" t="s">
        <v>195</v>
      </c>
      <c r="D24" s="7" t="s">
        <v>196</v>
      </c>
      <c r="E24" s="7" t="s">
        <v>197</v>
      </c>
      <c r="F24" s="7" t="s">
        <v>37</v>
      </c>
      <c r="G24" s="26" t="s">
        <v>173</v>
      </c>
      <c r="H24" s="26" t="s">
        <v>7</v>
      </c>
      <c r="I24" s="7" t="s">
        <v>198</v>
      </c>
      <c r="J24" s="7" t="s">
        <v>40</v>
      </c>
      <c r="K24" s="7" t="s">
        <v>199</v>
      </c>
      <c r="L24" s="7" t="s">
        <v>200</v>
      </c>
      <c r="M24" s="7" t="s">
        <v>43</v>
      </c>
      <c r="N24" s="7" t="s">
        <v>44</v>
      </c>
      <c r="O24" s="7" t="s">
        <v>45</v>
      </c>
      <c r="P24" s="7" t="s">
        <v>46</v>
      </c>
      <c r="Q24" s="7" t="s">
        <v>47</v>
      </c>
    </row>
    <row r="25" spans="1:17" x14ac:dyDescent="0.35">
      <c r="A25" s="7" t="s">
        <v>201</v>
      </c>
      <c r="B25" s="7">
        <v>2702234466</v>
      </c>
      <c r="C25" s="7" t="s">
        <v>202</v>
      </c>
      <c r="D25" s="7" t="s">
        <v>203</v>
      </c>
      <c r="E25" s="7" t="s">
        <v>204</v>
      </c>
      <c r="F25" s="7" t="s">
        <v>37</v>
      </c>
      <c r="G25" s="29" t="s">
        <v>77</v>
      </c>
      <c r="H25" s="29" t="s">
        <v>13</v>
      </c>
      <c r="I25" s="7" t="s">
        <v>205</v>
      </c>
      <c r="J25" s="7" t="s">
        <v>54</v>
      </c>
      <c r="K25" s="7" t="s">
        <v>78</v>
      </c>
      <c r="L25" s="7" t="s">
        <v>79</v>
      </c>
      <c r="M25" s="7" t="s">
        <v>80</v>
      </c>
      <c r="N25" s="7" t="s">
        <v>186</v>
      </c>
      <c r="O25" s="7" t="s">
        <v>82</v>
      </c>
      <c r="P25" s="7" t="s">
        <v>46</v>
      </c>
      <c r="Q25" s="7" t="s">
        <v>47</v>
      </c>
    </row>
    <row r="26" spans="1:17" x14ac:dyDescent="0.35">
      <c r="A26" s="2" t="s">
        <v>206</v>
      </c>
      <c r="B26" s="2">
        <v>2702239681</v>
      </c>
      <c r="C26" s="2" t="s">
        <v>207</v>
      </c>
      <c r="D26" s="2" t="s">
        <v>208</v>
      </c>
      <c r="E26" s="2" t="s">
        <v>209</v>
      </c>
      <c r="F26" s="2" t="s">
        <v>37</v>
      </c>
      <c r="G26" s="29" t="s">
        <v>77</v>
      </c>
      <c r="H26" s="29" t="s">
        <v>13</v>
      </c>
      <c r="I26" s="2" t="s">
        <v>205</v>
      </c>
      <c r="J26" s="2" t="s">
        <v>40</v>
      </c>
      <c r="K26" s="2" t="s">
        <v>78</v>
      </c>
      <c r="L26" s="2" t="s">
        <v>79</v>
      </c>
      <c r="M26" s="2" t="s">
        <v>80</v>
      </c>
      <c r="N26" s="2" t="s">
        <v>81</v>
      </c>
      <c r="O26" s="2" t="s">
        <v>82</v>
      </c>
      <c r="P26" s="2" t="s">
        <v>83</v>
      </c>
      <c r="Q26" s="2" t="s">
        <v>72</v>
      </c>
    </row>
    <row r="27" spans="1:17" x14ac:dyDescent="0.35">
      <c r="A27" s="2" t="s">
        <v>210</v>
      </c>
      <c r="B27" s="2">
        <v>2702228892</v>
      </c>
      <c r="C27" s="2" t="s">
        <v>211</v>
      </c>
      <c r="D27" s="2" t="s">
        <v>212</v>
      </c>
      <c r="E27" s="2" t="s">
        <v>213</v>
      </c>
      <c r="F27" s="2" t="s">
        <v>37</v>
      </c>
      <c r="G27" s="23" t="s">
        <v>214</v>
      </c>
      <c r="H27" s="23" t="s">
        <v>0</v>
      </c>
      <c r="I27" s="2" t="s">
        <v>215</v>
      </c>
      <c r="J27" s="2" t="s">
        <v>40</v>
      </c>
      <c r="K27" s="19" t="s">
        <v>107</v>
      </c>
      <c r="L27" s="19" t="s">
        <v>108</v>
      </c>
      <c r="M27" s="19" t="s">
        <v>109</v>
      </c>
      <c r="N27" s="20">
        <v>46055</v>
      </c>
      <c r="O27" s="19" t="s">
        <v>110</v>
      </c>
      <c r="P27" s="19" t="s">
        <v>46</v>
      </c>
      <c r="Q27" s="19" t="s">
        <v>47</v>
      </c>
    </row>
    <row r="28" spans="1:17" x14ac:dyDescent="0.35">
      <c r="A28" s="2" t="s">
        <v>216</v>
      </c>
      <c r="B28" s="2">
        <v>2702239750</v>
      </c>
      <c r="C28" s="2" t="s">
        <v>217</v>
      </c>
      <c r="D28" s="2" t="s">
        <v>218</v>
      </c>
      <c r="E28" s="2" t="s">
        <v>219</v>
      </c>
      <c r="F28" s="2" t="s">
        <v>37</v>
      </c>
      <c r="G28" s="29" t="s">
        <v>150</v>
      </c>
      <c r="H28" s="29" t="s">
        <v>6</v>
      </c>
      <c r="I28" s="2" t="s">
        <v>220</v>
      </c>
      <c r="J28" s="2" t="s">
        <v>54</v>
      </c>
      <c r="K28" s="2" t="s">
        <v>221</v>
      </c>
      <c r="L28" s="2" t="s">
        <v>222</v>
      </c>
      <c r="M28" s="2" t="s">
        <v>43</v>
      </c>
      <c r="N28" s="2" t="s">
        <v>44</v>
      </c>
      <c r="O28" s="2" t="s">
        <v>45</v>
      </c>
      <c r="P28" s="2" t="s">
        <v>83</v>
      </c>
      <c r="Q28" s="2" t="s">
        <v>72</v>
      </c>
    </row>
    <row r="29" spans="1:17" x14ac:dyDescent="0.35">
      <c r="A29" s="7" t="s">
        <v>223</v>
      </c>
      <c r="B29" s="7">
        <v>2702352414</v>
      </c>
      <c r="C29" s="7" t="s">
        <v>224</v>
      </c>
      <c r="D29" s="7" t="s">
        <v>225</v>
      </c>
      <c r="E29" s="7" t="s">
        <v>226</v>
      </c>
      <c r="F29" s="7" t="s">
        <v>37</v>
      </c>
      <c r="G29" s="26" t="s">
        <v>173</v>
      </c>
      <c r="H29" s="26" t="s">
        <v>7</v>
      </c>
      <c r="I29" s="7" t="s">
        <v>220</v>
      </c>
      <c r="J29" s="7" t="s">
        <v>54</v>
      </c>
      <c r="K29" s="8" t="s">
        <v>227</v>
      </c>
      <c r="L29" s="8" t="s">
        <v>228</v>
      </c>
      <c r="M29" s="8" t="s">
        <v>43</v>
      </c>
      <c r="N29" s="16">
        <v>46055</v>
      </c>
      <c r="O29" s="16">
        <v>46420</v>
      </c>
      <c r="P29" s="8" t="s">
        <v>46</v>
      </c>
      <c r="Q29" s="8" t="s">
        <v>72</v>
      </c>
    </row>
    <row r="30" spans="1:17" x14ac:dyDescent="0.35">
      <c r="A30" s="7" t="s">
        <v>229</v>
      </c>
      <c r="B30" s="7">
        <v>2702236805</v>
      </c>
      <c r="C30" s="7" t="s">
        <v>230</v>
      </c>
      <c r="D30" s="7" t="s">
        <v>231</v>
      </c>
      <c r="E30" s="7" t="s">
        <v>232</v>
      </c>
      <c r="F30" s="7" t="s">
        <v>37</v>
      </c>
      <c r="G30" s="26" t="s">
        <v>173</v>
      </c>
      <c r="H30" s="26" t="s">
        <v>7</v>
      </c>
      <c r="I30" s="7" t="s">
        <v>220</v>
      </c>
      <c r="J30" s="7" t="s">
        <v>40</v>
      </c>
      <c r="K30" s="13" t="s">
        <v>233</v>
      </c>
      <c r="L30" s="13" t="s">
        <v>56</v>
      </c>
      <c r="M30" s="13" t="s">
        <v>43</v>
      </c>
      <c r="N30" s="17">
        <v>46055</v>
      </c>
      <c r="O30" s="13" t="s">
        <v>45</v>
      </c>
      <c r="P30" s="13" t="s">
        <v>46</v>
      </c>
      <c r="Q30" s="13" t="s">
        <v>47</v>
      </c>
    </row>
    <row r="31" spans="1:17" x14ac:dyDescent="0.35">
      <c r="A31" s="7" t="s">
        <v>234</v>
      </c>
      <c r="B31" s="7">
        <v>2702361652</v>
      </c>
      <c r="C31" s="7" t="s">
        <v>235</v>
      </c>
      <c r="D31" s="7" t="s">
        <v>236</v>
      </c>
      <c r="E31" s="7" t="s">
        <v>237</v>
      </c>
      <c r="F31" s="7" t="s">
        <v>37</v>
      </c>
      <c r="G31" s="24" t="s">
        <v>214</v>
      </c>
      <c r="H31" s="24" t="s">
        <v>0</v>
      </c>
      <c r="I31" s="7" t="s">
        <v>220</v>
      </c>
      <c r="J31" s="7" t="s">
        <v>54</v>
      </c>
      <c r="K31" s="7" t="s">
        <v>238</v>
      </c>
      <c r="L31" s="7" t="s">
        <v>239</v>
      </c>
      <c r="M31" s="7" t="s">
        <v>43</v>
      </c>
      <c r="N31" s="7" t="s">
        <v>186</v>
      </c>
      <c r="O31" s="7" t="s">
        <v>240</v>
      </c>
      <c r="P31" s="7" t="s">
        <v>46</v>
      </c>
      <c r="Q31" s="7" t="s">
        <v>72</v>
      </c>
    </row>
    <row r="32" spans="1:17" x14ac:dyDescent="0.35">
      <c r="A32" s="2" t="s">
        <v>241</v>
      </c>
      <c r="B32" s="2">
        <v>2702229176</v>
      </c>
      <c r="C32" s="2" t="s">
        <v>242</v>
      </c>
      <c r="D32" s="2" t="s">
        <v>243</v>
      </c>
      <c r="E32" s="2" t="s">
        <v>244</v>
      </c>
      <c r="F32" s="2" t="s">
        <v>37</v>
      </c>
      <c r="G32" s="26" t="s">
        <v>52</v>
      </c>
      <c r="H32" s="26" t="s">
        <v>2</v>
      </c>
      <c r="I32" s="2" t="s">
        <v>245</v>
      </c>
      <c r="J32" s="2" t="s">
        <v>40</v>
      </c>
      <c r="K32" s="6" t="s">
        <v>246</v>
      </c>
      <c r="L32" s="6" t="s">
        <v>222</v>
      </c>
      <c r="M32" s="6" t="s">
        <v>43</v>
      </c>
      <c r="N32" s="25">
        <v>46055</v>
      </c>
      <c r="O32" s="25">
        <v>46420</v>
      </c>
      <c r="P32" s="6" t="s">
        <v>46</v>
      </c>
      <c r="Q32" s="6" t="s">
        <v>47</v>
      </c>
    </row>
    <row r="33" spans="1:17" x14ac:dyDescent="0.35">
      <c r="A33" s="7" t="s">
        <v>247</v>
      </c>
      <c r="B33" s="7">
        <v>2702228734</v>
      </c>
      <c r="C33" s="7" t="s">
        <v>248</v>
      </c>
      <c r="D33" s="7" t="s">
        <v>249</v>
      </c>
      <c r="E33" s="7" t="s">
        <v>250</v>
      </c>
      <c r="F33" s="7" t="s">
        <v>37</v>
      </c>
      <c r="G33" s="29" t="s">
        <v>150</v>
      </c>
      <c r="H33" s="29" t="s">
        <v>6</v>
      </c>
      <c r="I33" s="7" t="s">
        <v>251</v>
      </c>
      <c r="J33" s="7" t="s">
        <v>40</v>
      </c>
      <c r="K33" s="9" t="s">
        <v>252</v>
      </c>
      <c r="L33" s="9" t="s">
        <v>121</v>
      </c>
      <c r="M33" s="9" t="s">
        <v>43</v>
      </c>
      <c r="N33" s="10">
        <v>46358</v>
      </c>
      <c r="O33" s="9" t="s">
        <v>45</v>
      </c>
      <c r="P33" s="9" t="s">
        <v>46</v>
      </c>
      <c r="Q33" s="9" t="s">
        <v>47</v>
      </c>
    </row>
    <row r="34" spans="1:17" x14ac:dyDescent="0.35">
      <c r="A34" s="2" t="s">
        <v>253</v>
      </c>
      <c r="B34" s="2">
        <v>2702327583</v>
      </c>
      <c r="C34" s="2" t="s">
        <v>254</v>
      </c>
      <c r="D34" s="2" t="s">
        <v>255</v>
      </c>
      <c r="E34" s="2" t="s">
        <v>256</v>
      </c>
      <c r="F34" s="2" t="s">
        <v>257</v>
      </c>
      <c r="G34" s="26" t="s">
        <v>258</v>
      </c>
      <c r="H34" s="26" t="s">
        <v>10</v>
      </c>
      <c r="I34" s="2" t="s">
        <v>259</v>
      </c>
      <c r="J34" s="2" t="s">
        <v>54</v>
      </c>
      <c r="K34" s="12" t="s">
        <v>260</v>
      </c>
      <c r="L34" s="12" t="s">
        <v>260</v>
      </c>
      <c r="M34" s="12" t="s">
        <v>260</v>
      </c>
      <c r="N34" s="12" t="s">
        <v>260</v>
      </c>
      <c r="O34" s="12" t="s">
        <v>260</v>
      </c>
      <c r="P34" s="12" t="s">
        <v>260</v>
      </c>
      <c r="Q34" s="12" t="s">
        <v>72</v>
      </c>
    </row>
    <row r="35" spans="1:17" x14ac:dyDescent="0.35">
      <c r="A35" s="7" t="s">
        <v>261</v>
      </c>
      <c r="B35" s="7">
        <v>2702252134</v>
      </c>
      <c r="C35" s="7" t="s">
        <v>262</v>
      </c>
      <c r="D35" s="7" t="s">
        <v>263</v>
      </c>
      <c r="E35" s="7" t="s">
        <v>264</v>
      </c>
      <c r="F35" s="7" t="s">
        <v>37</v>
      </c>
      <c r="G35" s="29" t="s">
        <v>38</v>
      </c>
      <c r="H35" s="29" t="s">
        <v>12</v>
      </c>
      <c r="I35" s="7" t="s">
        <v>265</v>
      </c>
      <c r="J35" s="7" t="s">
        <v>54</v>
      </c>
      <c r="K35" s="24" t="s">
        <v>41</v>
      </c>
      <c r="L35" s="24" t="s">
        <v>71</v>
      </c>
      <c r="M35" s="24" t="s">
        <v>43</v>
      </c>
      <c r="N35" s="24" t="s">
        <v>44</v>
      </c>
      <c r="O35" s="24" t="s">
        <v>45</v>
      </c>
      <c r="P35" s="24" t="s">
        <v>46</v>
      </c>
      <c r="Q35" s="24" t="s">
        <v>47</v>
      </c>
    </row>
    <row r="36" spans="1:17" x14ac:dyDescent="0.35">
      <c r="A36" s="2" t="s">
        <v>266</v>
      </c>
      <c r="B36" s="2">
        <v>2702252102</v>
      </c>
      <c r="C36" s="2" t="s">
        <v>267</v>
      </c>
      <c r="D36" s="2" t="s">
        <v>268</v>
      </c>
      <c r="E36" s="2" t="s">
        <v>269</v>
      </c>
      <c r="F36" s="2" t="s">
        <v>37</v>
      </c>
      <c r="G36" s="29" t="s">
        <v>270</v>
      </c>
      <c r="H36" s="29" t="s">
        <v>5</v>
      </c>
      <c r="I36" s="2" t="s">
        <v>265</v>
      </c>
      <c r="J36" s="2" t="s">
        <v>40</v>
      </c>
      <c r="K36" s="30" t="s">
        <v>271</v>
      </c>
      <c r="L36" s="30" t="s">
        <v>272</v>
      </c>
      <c r="M36" s="30" t="s">
        <v>43</v>
      </c>
      <c r="N36" s="33">
        <v>46055</v>
      </c>
      <c r="O36" s="33">
        <v>46420</v>
      </c>
      <c r="P36" s="30" t="s">
        <v>46</v>
      </c>
      <c r="Q36" s="30" t="s">
        <v>47</v>
      </c>
    </row>
    <row r="37" spans="1:17" x14ac:dyDescent="0.35">
      <c r="A37" s="2" t="s">
        <v>273</v>
      </c>
      <c r="B37" s="2">
        <v>2602074103</v>
      </c>
      <c r="C37" s="2" t="s">
        <v>274</v>
      </c>
      <c r="D37" s="2" t="s">
        <v>275</v>
      </c>
      <c r="E37" s="2" t="s">
        <v>276</v>
      </c>
      <c r="F37" s="2" t="s">
        <v>37</v>
      </c>
      <c r="G37" s="26" t="s">
        <v>52</v>
      </c>
      <c r="H37" s="26" t="s">
        <v>2</v>
      </c>
      <c r="I37" s="2" t="s">
        <v>277</v>
      </c>
      <c r="J37" s="2" t="s">
        <v>278</v>
      </c>
      <c r="K37" s="23" t="s">
        <v>279</v>
      </c>
      <c r="L37" s="23" t="s">
        <v>222</v>
      </c>
      <c r="M37" s="23" t="s">
        <v>109</v>
      </c>
      <c r="N37" s="23" t="s">
        <v>44</v>
      </c>
      <c r="O37" s="23" t="s">
        <v>280</v>
      </c>
      <c r="P37" s="23" t="s">
        <v>46</v>
      </c>
      <c r="Q37" s="23" t="s">
        <v>47</v>
      </c>
    </row>
    <row r="38" spans="1:17" x14ac:dyDescent="0.35">
      <c r="A38" s="7" t="s">
        <v>281</v>
      </c>
      <c r="B38" s="7">
        <v>2702282591</v>
      </c>
      <c r="C38" s="7" t="s">
        <v>282</v>
      </c>
      <c r="D38" s="7" t="s">
        <v>283</v>
      </c>
      <c r="E38" s="7" t="s">
        <v>284</v>
      </c>
      <c r="F38" s="7" t="s">
        <v>37</v>
      </c>
      <c r="G38" s="26" t="s">
        <v>52</v>
      </c>
      <c r="H38" s="26" t="s">
        <v>2</v>
      </c>
      <c r="I38" s="7" t="s">
        <v>285</v>
      </c>
      <c r="J38" s="7" t="s">
        <v>54</v>
      </c>
      <c r="K38" s="31" t="s">
        <v>286</v>
      </c>
      <c r="L38" s="31" t="s">
        <v>56</v>
      </c>
      <c r="M38" s="31" t="s">
        <v>43</v>
      </c>
      <c r="N38" s="32">
        <v>46055</v>
      </c>
      <c r="O38" s="31" t="s">
        <v>45</v>
      </c>
      <c r="P38" s="31" t="s">
        <v>46</v>
      </c>
      <c r="Q38" s="31" t="s">
        <v>47</v>
      </c>
    </row>
    <row r="39" spans="1:17" x14ac:dyDescent="0.35">
      <c r="A39" s="2" t="s">
        <v>287</v>
      </c>
      <c r="B39" s="2">
        <v>2702334784</v>
      </c>
      <c r="C39" s="2" t="s">
        <v>288</v>
      </c>
      <c r="D39" s="2" t="s">
        <v>289</v>
      </c>
      <c r="E39" s="2" t="s">
        <v>290</v>
      </c>
      <c r="F39" s="2" t="s">
        <v>37</v>
      </c>
      <c r="G39" s="26" t="s">
        <v>173</v>
      </c>
      <c r="H39" s="26" t="s">
        <v>7</v>
      </c>
      <c r="I39" s="2" t="s">
        <v>291</v>
      </c>
      <c r="J39" s="2" t="s">
        <v>40</v>
      </c>
      <c r="K39" s="23" t="s">
        <v>292</v>
      </c>
      <c r="L39" s="23" t="s">
        <v>200</v>
      </c>
      <c r="M39" s="23" t="s">
        <v>43</v>
      </c>
      <c r="N39" s="23" t="s">
        <v>44</v>
      </c>
      <c r="O39" s="23" t="s">
        <v>153</v>
      </c>
      <c r="P39" s="23" t="s">
        <v>46</v>
      </c>
      <c r="Q39" s="23" t="s">
        <v>72</v>
      </c>
    </row>
    <row r="40" spans="1:17" x14ac:dyDescent="0.35">
      <c r="A40" s="7" t="s">
        <v>293</v>
      </c>
      <c r="B40" s="7">
        <v>2702319051</v>
      </c>
      <c r="C40" s="7" t="s">
        <v>294</v>
      </c>
      <c r="D40" s="7" t="s">
        <v>295</v>
      </c>
      <c r="E40" s="7" t="s">
        <v>296</v>
      </c>
      <c r="F40" s="7" t="s">
        <v>37</v>
      </c>
      <c r="G40" s="26" t="s">
        <v>297</v>
      </c>
      <c r="H40" s="26" t="s">
        <v>3</v>
      </c>
      <c r="I40" s="7" t="s">
        <v>298</v>
      </c>
      <c r="J40" s="7" t="s">
        <v>40</v>
      </c>
      <c r="K40" s="21" t="s">
        <v>107</v>
      </c>
      <c r="L40" s="21" t="s">
        <v>108</v>
      </c>
      <c r="M40" s="21" t="s">
        <v>109</v>
      </c>
      <c r="N40" s="22">
        <v>46055</v>
      </c>
      <c r="O40" s="21" t="s">
        <v>110</v>
      </c>
      <c r="P40" s="21" t="s">
        <v>46</v>
      </c>
      <c r="Q40" s="21" t="s">
        <v>47</v>
      </c>
    </row>
    <row r="41" spans="1:17" x14ac:dyDescent="0.35">
      <c r="A41" s="7" t="s">
        <v>299</v>
      </c>
      <c r="B41" s="7">
        <v>2702275485</v>
      </c>
      <c r="C41" s="7" t="s">
        <v>300</v>
      </c>
      <c r="D41" s="7" t="s">
        <v>301</v>
      </c>
      <c r="E41" s="7" t="s">
        <v>302</v>
      </c>
      <c r="F41" s="7" t="s">
        <v>37</v>
      </c>
      <c r="G41" s="7" t="s">
        <v>214</v>
      </c>
      <c r="H41" s="7" t="s">
        <v>0</v>
      </c>
      <c r="I41" s="7" t="s">
        <v>298</v>
      </c>
      <c r="J41" s="7" t="s">
        <v>40</v>
      </c>
      <c r="K41" s="7" t="s">
        <v>303</v>
      </c>
      <c r="L41" s="7" t="s">
        <v>304</v>
      </c>
      <c r="M41" s="7" t="s">
        <v>43</v>
      </c>
      <c r="N41" s="7" t="s">
        <v>44</v>
      </c>
      <c r="O41" s="7" t="s">
        <v>45</v>
      </c>
      <c r="P41" s="7" t="s">
        <v>46</v>
      </c>
      <c r="Q41" s="7" t="s">
        <v>47</v>
      </c>
    </row>
    <row r="42" spans="1:17" x14ac:dyDescent="0.35">
      <c r="A42" s="2" t="s">
        <v>305</v>
      </c>
      <c r="B42" s="2">
        <v>2702261574</v>
      </c>
      <c r="C42" s="2" t="s">
        <v>306</v>
      </c>
      <c r="D42" s="2" t="s">
        <v>307</v>
      </c>
      <c r="E42" s="2" t="s">
        <v>308</v>
      </c>
      <c r="F42" s="2" t="s">
        <v>37</v>
      </c>
      <c r="G42" s="26" t="s">
        <v>52</v>
      </c>
      <c r="H42" s="26" t="s">
        <v>2</v>
      </c>
      <c r="I42" s="2" t="s">
        <v>309</v>
      </c>
      <c r="J42" s="2" t="s">
        <v>54</v>
      </c>
      <c r="K42" s="2" t="s">
        <v>310</v>
      </c>
      <c r="L42" s="2" t="s">
        <v>222</v>
      </c>
      <c r="M42" s="2" t="s">
        <v>43</v>
      </c>
      <c r="N42" s="2" t="s">
        <v>44</v>
      </c>
      <c r="O42" s="2" t="s">
        <v>45</v>
      </c>
      <c r="P42" s="2" t="s">
        <v>46</v>
      </c>
      <c r="Q42" s="2" t="s">
        <v>47</v>
      </c>
    </row>
    <row r="43" spans="1:17" x14ac:dyDescent="0.35">
      <c r="A43" s="7" t="s">
        <v>311</v>
      </c>
      <c r="B43" s="7">
        <v>2702286412</v>
      </c>
      <c r="C43" s="7" t="s">
        <v>312</v>
      </c>
      <c r="D43" s="7" t="s">
        <v>313</v>
      </c>
      <c r="E43" s="7" t="s">
        <v>314</v>
      </c>
      <c r="F43" s="7" t="s">
        <v>37</v>
      </c>
      <c r="G43" s="7" t="s">
        <v>214</v>
      </c>
      <c r="H43" s="7" t="s">
        <v>0</v>
      </c>
      <c r="I43" s="7" t="s">
        <v>309</v>
      </c>
      <c r="J43" s="7" t="s">
        <v>40</v>
      </c>
      <c r="K43" s="8" t="s">
        <v>303</v>
      </c>
      <c r="L43" s="8" t="s">
        <v>315</v>
      </c>
      <c r="M43" s="8" t="s">
        <v>43</v>
      </c>
      <c r="N43" s="16">
        <v>46055</v>
      </c>
      <c r="O43" s="8" t="s">
        <v>45</v>
      </c>
      <c r="P43" s="8" t="s">
        <v>122</v>
      </c>
      <c r="Q43" s="8" t="s">
        <v>47</v>
      </c>
    </row>
    <row r="44" spans="1:17" x14ac:dyDescent="0.35">
      <c r="A44" s="7" t="s">
        <v>316</v>
      </c>
      <c r="B44" s="7">
        <v>2702233791</v>
      </c>
      <c r="C44" s="7" t="s">
        <v>317</v>
      </c>
      <c r="D44" s="7" t="s">
        <v>318</v>
      </c>
      <c r="E44" s="7" t="s">
        <v>319</v>
      </c>
      <c r="F44" s="7" t="s">
        <v>37</v>
      </c>
      <c r="G44" s="26" t="s">
        <v>38</v>
      </c>
      <c r="H44" s="26" t="s">
        <v>12</v>
      </c>
      <c r="I44" s="7" t="s">
        <v>309</v>
      </c>
      <c r="J44" s="7" t="s">
        <v>40</v>
      </c>
      <c r="K44" s="9" t="s">
        <v>41</v>
      </c>
      <c r="L44" s="9" t="s">
        <v>320</v>
      </c>
      <c r="M44" s="9" t="s">
        <v>43</v>
      </c>
      <c r="N44" s="10">
        <v>46055</v>
      </c>
      <c r="O44" s="9" t="s">
        <v>45</v>
      </c>
      <c r="P44" s="9" t="s">
        <v>46</v>
      </c>
      <c r="Q44" s="9" t="s">
        <v>47</v>
      </c>
    </row>
    <row r="45" spans="1:17" x14ac:dyDescent="0.35">
      <c r="A45" s="7" t="s">
        <v>321</v>
      </c>
      <c r="B45" s="7">
        <v>2702262791</v>
      </c>
      <c r="C45" s="7" t="s">
        <v>322</v>
      </c>
      <c r="D45" s="7" t="s">
        <v>323</v>
      </c>
      <c r="E45" s="7" t="s">
        <v>324</v>
      </c>
      <c r="F45" s="7" t="s">
        <v>37</v>
      </c>
      <c r="G45" s="26" t="s">
        <v>270</v>
      </c>
      <c r="H45" s="26" t="s">
        <v>5</v>
      </c>
      <c r="I45" s="7" t="s">
        <v>309</v>
      </c>
      <c r="J45" s="7" t="s">
        <v>54</v>
      </c>
      <c r="K45" s="8" t="s">
        <v>325</v>
      </c>
      <c r="L45" s="8" t="s">
        <v>326</v>
      </c>
      <c r="M45" s="8" t="s">
        <v>43</v>
      </c>
      <c r="N45" s="16">
        <v>46055</v>
      </c>
      <c r="O45" s="8" t="s">
        <v>45</v>
      </c>
      <c r="P45" s="8" t="s">
        <v>46</v>
      </c>
      <c r="Q45" s="8" t="s">
        <v>47</v>
      </c>
    </row>
    <row r="46" spans="1:17" x14ac:dyDescent="0.35">
      <c r="A46" s="7" t="s">
        <v>327</v>
      </c>
      <c r="B46" s="7">
        <v>2702361620</v>
      </c>
      <c r="C46" s="7" t="s">
        <v>328</v>
      </c>
      <c r="D46" s="7" t="s">
        <v>329</v>
      </c>
      <c r="E46" s="7" t="s">
        <v>330</v>
      </c>
      <c r="F46" s="7" t="s">
        <v>37</v>
      </c>
      <c r="G46" s="29" t="s">
        <v>132</v>
      </c>
      <c r="H46" s="29" t="s">
        <v>9</v>
      </c>
      <c r="I46" s="7" t="s">
        <v>331</v>
      </c>
      <c r="J46" s="7" t="s">
        <v>40</v>
      </c>
      <c r="K46" s="7" t="s">
        <v>332</v>
      </c>
      <c r="L46" s="7" t="s">
        <v>333</v>
      </c>
      <c r="M46" s="7" t="s">
        <v>43</v>
      </c>
      <c r="N46" s="7" t="s">
        <v>44</v>
      </c>
      <c r="O46" s="7" t="s">
        <v>45</v>
      </c>
      <c r="P46" s="7" t="s">
        <v>83</v>
      </c>
      <c r="Q46" s="7" t="s">
        <v>47</v>
      </c>
    </row>
    <row r="47" spans="1:17" x14ac:dyDescent="0.35">
      <c r="A47" s="2" t="s">
        <v>334</v>
      </c>
      <c r="B47" s="2">
        <v>2702250261</v>
      </c>
      <c r="C47" s="2" t="s">
        <v>335</v>
      </c>
      <c r="D47" s="2" t="s">
        <v>336</v>
      </c>
      <c r="E47" s="2" t="s">
        <v>337</v>
      </c>
      <c r="F47" s="2" t="s">
        <v>37</v>
      </c>
      <c r="G47" s="29" t="s">
        <v>38</v>
      </c>
      <c r="H47" s="29" t="s">
        <v>12</v>
      </c>
      <c r="I47" s="2" t="s">
        <v>338</v>
      </c>
      <c r="J47" s="2" t="s">
        <v>40</v>
      </c>
      <c r="K47" s="2" t="s">
        <v>41</v>
      </c>
      <c r="L47" s="2" t="s">
        <v>42</v>
      </c>
      <c r="M47" s="2" t="s">
        <v>43</v>
      </c>
      <c r="N47" s="2" t="s">
        <v>44</v>
      </c>
      <c r="O47" s="2" t="s">
        <v>45</v>
      </c>
      <c r="P47" s="2" t="s">
        <v>46</v>
      </c>
      <c r="Q47" s="2" t="s">
        <v>72</v>
      </c>
    </row>
    <row r="48" spans="1:17" x14ac:dyDescent="0.35">
      <c r="A48" s="7" t="s">
        <v>339</v>
      </c>
      <c r="B48" s="7">
        <v>2702233311</v>
      </c>
      <c r="C48" s="7" t="s">
        <v>340</v>
      </c>
      <c r="D48" s="7" t="s">
        <v>341</v>
      </c>
      <c r="E48" s="7" t="s">
        <v>342</v>
      </c>
      <c r="F48" s="7" t="s">
        <v>37</v>
      </c>
      <c r="G48" s="29" t="s">
        <v>38</v>
      </c>
      <c r="H48" s="29" t="s">
        <v>12</v>
      </c>
      <c r="I48" s="7" t="s">
        <v>343</v>
      </c>
      <c r="J48" s="7" t="s">
        <v>40</v>
      </c>
      <c r="K48" s="7" t="s">
        <v>41</v>
      </c>
      <c r="L48" s="7" t="s">
        <v>71</v>
      </c>
      <c r="M48" s="7" t="s">
        <v>43</v>
      </c>
      <c r="N48" s="7" t="s">
        <v>44</v>
      </c>
      <c r="O48" s="7" t="s">
        <v>45</v>
      </c>
      <c r="P48" s="7" t="s">
        <v>46</v>
      </c>
      <c r="Q48" s="7" t="s">
        <v>72</v>
      </c>
    </row>
    <row r="49" spans="1:17" x14ac:dyDescent="0.35">
      <c r="A49" s="2" t="s">
        <v>344</v>
      </c>
      <c r="B49" s="2">
        <v>2702272003</v>
      </c>
      <c r="C49" s="2" t="s">
        <v>345</v>
      </c>
      <c r="D49" s="2" t="s">
        <v>346</v>
      </c>
      <c r="E49" s="2" t="s">
        <v>347</v>
      </c>
      <c r="F49" s="2" t="s">
        <v>37</v>
      </c>
      <c r="G49" s="26" t="s">
        <v>173</v>
      </c>
      <c r="H49" s="26" t="s">
        <v>7</v>
      </c>
      <c r="I49" s="2" t="s">
        <v>343</v>
      </c>
      <c r="J49" s="2" t="s">
        <v>40</v>
      </c>
      <c r="K49" s="2" t="s">
        <v>348</v>
      </c>
      <c r="L49" s="2" t="s">
        <v>161</v>
      </c>
      <c r="M49" s="2" t="s">
        <v>43</v>
      </c>
      <c r="N49" s="2" t="s">
        <v>44</v>
      </c>
      <c r="O49" s="2" t="s">
        <v>45</v>
      </c>
      <c r="P49" s="2" t="s">
        <v>46</v>
      </c>
      <c r="Q49" s="2" t="s">
        <v>72</v>
      </c>
    </row>
    <row r="50" spans="1:17" x14ac:dyDescent="0.35">
      <c r="A50" s="7" t="s">
        <v>349</v>
      </c>
      <c r="B50" s="7">
        <v>2702320210</v>
      </c>
      <c r="C50" s="7" t="s">
        <v>350</v>
      </c>
      <c r="D50" s="7" t="s">
        <v>351</v>
      </c>
      <c r="E50" s="7" t="s">
        <v>352</v>
      </c>
      <c r="F50" s="7" t="s">
        <v>37</v>
      </c>
      <c r="G50" s="26" t="s">
        <v>158</v>
      </c>
      <c r="H50" s="26" t="s">
        <v>11</v>
      </c>
      <c r="I50" s="7" t="s">
        <v>353</v>
      </c>
      <c r="J50" s="7" t="s">
        <v>40</v>
      </c>
      <c r="K50" s="11" t="s">
        <v>354</v>
      </c>
      <c r="L50" s="11" t="s">
        <v>355</v>
      </c>
      <c r="M50" s="11" t="s">
        <v>43</v>
      </c>
      <c r="N50" s="11" t="s">
        <v>44</v>
      </c>
      <c r="O50" s="11" t="s">
        <v>153</v>
      </c>
      <c r="P50" s="11" t="s">
        <v>46</v>
      </c>
      <c r="Q50" s="11" t="s">
        <v>72</v>
      </c>
    </row>
    <row r="51" spans="1:17" x14ac:dyDescent="0.35">
      <c r="A51" s="2" t="s">
        <v>356</v>
      </c>
      <c r="B51" s="2">
        <v>2702261611</v>
      </c>
      <c r="C51" s="2" t="s">
        <v>357</v>
      </c>
      <c r="D51" s="2" t="s">
        <v>358</v>
      </c>
      <c r="E51" s="2" t="s">
        <v>359</v>
      </c>
      <c r="F51" s="2" t="s">
        <v>257</v>
      </c>
      <c r="G51" s="29" t="s">
        <v>297</v>
      </c>
      <c r="H51" s="29" t="s">
        <v>3</v>
      </c>
      <c r="I51" s="2" t="s">
        <v>360</v>
      </c>
      <c r="J51" s="2" t="s">
        <v>40</v>
      </c>
      <c r="K51" s="2" t="s">
        <v>260</v>
      </c>
      <c r="L51" s="2" t="s">
        <v>260</v>
      </c>
      <c r="M51" s="2" t="s">
        <v>260</v>
      </c>
      <c r="N51" s="2" t="s">
        <v>260</v>
      </c>
      <c r="O51" s="2" t="s">
        <v>260</v>
      </c>
      <c r="P51" s="2" t="s">
        <v>260</v>
      </c>
      <c r="Q51" s="2" t="s">
        <v>72</v>
      </c>
    </row>
    <row r="52" spans="1:17" x14ac:dyDescent="0.35">
      <c r="A52" s="7" t="s">
        <v>361</v>
      </c>
      <c r="B52" s="7">
        <v>2702259235</v>
      </c>
      <c r="C52" s="7" t="s">
        <v>362</v>
      </c>
      <c r="D52" s="7" t="s">
        <v>363</v>
      </c>
      <c r="E52" s="7" t="s">
        <v>364</v>
      </c>
      <c r="F52" s="7" t="s">
        <v>37</v>
      </c>
      <c r="G52" s="29" t="s">
        <v>38</v>
      </c>
      <c r="H52" s="29" t="s">
        <v>12</v>
      </c>
      <c r="I52" s="7" t="s">
        <v>365</v>
      </c>
      <c r="J52" s="7" t="s">
        <v>40</v>
      </c>
      <c r="K52" s="11" t="s">
        <v>366</v>
      </c>
      <c r="L52" s="11" t="s">
        <v>367</v>
      </c>
      <c r="M52" s="11" t="s">
        <v>43</v>
      </c>
      <c r="N52" s="11" t="s">
        <v>368</v>
      </c>
      <c r="O52" s="11" t="s">
        <v>369</v>
      </c>
      <c r="P52" s="11" t="s">
        <v>46</v>
      </c>
      <c r="Q52" s="11" t="s">
        <v>72</v>
      </c>
    </row>
    <row r="53" spans="1:17" x14ac:dyDescent="0.35">
      <c r="A53" s="2" t="s">
        <v>370</v>
      </c>
      <c r="B53" s="2">
        <v>2702259191</v>
      </c>
      <c r="C53" s="2" t="s">
        <v>371</v>
      </c>
      <c r="D53" s="2" t="s">
        <v>372</v>
      </c>
      <c r="E53" s="2" t="s">
        <v>373</v>
      </c>
      <c r="F53" s="2" t="s">
        <v>37</v>
      </c>
      <c r="G53" s="26" t="s">
        <v>52</v>
      </c>
      <c r="H53" s="26" t="s">
        <v>2</v>
      </c>
      <c r="I53" s="2" t="s">
        <v>365</v>
      </c>
      <c r="J53" s="2" t="s">
        <v>40</v>
      </c>
      <c r="K53" s="2" t="s">
        <v>89</v>
      </c>
      <c r="L53" s="2" t="s">
        <v>71</v>
      </c>
      <c r="M53" s="2" t="s">
        <v>43</v>
      </c>
      <c r="N53" s="2" t="s">
        <v>44</v>
      </c>
      <c r="O53" s="2" t="s">
        <v>45</v>
      </c>
      <c r="P53" s="2" t="s">
        <v>83</v>
      </c>
      <c r="Q53" s="2" t="s">
        <v>72</v>
      </c>
    </row>
    <row r="54" spans="1:17" x14ac:dyDescent="0.35">
      <c r="A54" s="2" t="s">
        <v>374</v>
      </c>
      <c r="B54" s="2">
        <v>2702267211</v>
      </c>
      <c r="C54" s="2" t="s">
        <v>375</v>
      </c>
      <c r="D54" s="2" t="s">
        <v>376</v>
      </c>
      <c r="E54" s="2" t="s">
        <v>377</v>
      </c>
      <c r="F54" s="2" t="s">
        <v>37</v>
      </c>
      <c r="G54" s="29" t="s">
        <v>77</v>
      </c>
      <c r="H54" s="29" t="s">
        <v>13</v>
      </c>
      <c r="I54" s="2" t="s">
        <v>378</v>
      </c>
      <c r="J54" s="2" t="s">
        <v>40</v>
      </c>
      <c r="K54" s="12" t="s">
        <v>78</v>
      </c>
      <c r="L54" s="12" t="s">
        <v>79</v>
      </c>
      <c r="M54" s="12" t="s">
        <v>80</v>
      </c>
      <c r="N54" s="12" t="s">
        <v>81</v>
      </c>
      <c r="O54" s="12" t="s">
        <v>82</v>
      </c>
      <c r="P54" s="12" t="s">
        <v>83</v>
      </c>
      <c r="Q54" s="12" t="s">
        <v>72</v>
      </c>
    </row>
    <row r="55" spans="1:17" x14ac:dyDescent="0.35">
      <c r="A55" s="7" t="s">
        <v>379</v>
      </c>
      <c r="B55" s="7">
        <v>2702374592</v>
      </c>
      <c r="C55" s="7" t="s">
        <v>380</v>
      </c>
      <c r="D55" s="7" t="s">
        <v>381</v>
      </c>
      <c r="E55" s="7" t="s">
        <v>382</v>
      </c>
      <c r="F55" s="7" t="s">
        <v>37</v>
      </c>
      <c r="G55" s="26" t="s">
        <v>158</v>
      </c>
      <c r="H55" s="26" t="s">
        <v>11</v>
      </c>
      <c r="I55" s="7" t="s">
        <v>383</v>
      </c>
      <c r="J55" s="7" t="s">
        <v>54</v>
      </c>
      <c r="K55" s="13" t="s">
        <v>233</v>
      </c>
      <c r="L55" s="13" t="s">
        <v>384</v>
      </c>
      <c r="M55" s="13" t="s">
        <v>43</v>
      </c>
      <c r="N55" s="17">
        <v>46055</v>
      </c>
      <c r="O55" s="13" t="s">
        <v>45</v>
      </c>
      <c r="P55" s="13" t="s">
        <v>46</v>
      </c>
      <c r="Q55" s="13" t="s">
        <v>47</v>
      </c>
    </row>
    <row r="56" spans="1:17" x14ac:dyDescent="0.35">
      <c r="A56" s="7" t="s">
        <v>385</v>
      </c>
      <c r="B56" s="7">
        <v>2702259090</v>
      </c>
      <c r="C56" s="7" t="s">
        <v>386</v>
      </c>
      <c r="D56" s="7" t="s">
        <v>387</v>
      </c>
      <c r="E56" s="7" t="s">
        <v>388</v>
      </c>
      <c r="F56" s="7" t="s">
        <v>37</v>
      </c>
      <c r="G56" s="26" t="s">
        <v>158</v>
      </c>
      <c r="H56" s="26" t="s">
        <v>11</v>
      </c>
      <c r="I56" s="7" t="s">
        <v>389</v>
      </c>
      <c r="J56" s="7" t="s">
        <v>40</v>
      </c>
      <c r="K56" s="8" t="s">
        <v>166</v>
      </c>
      <c r="L56" s="8" t="s">
        <v>56</v>
      </c>
      <c r="M56" s="8" t="s">
        <v>43</v>
      </c>
      <c r="N56" s="8" t="s">
        <v>167</v>
      </c>
      <c r="O56" s="8" t="s">
        <v>168</v>
      </c>
      <c r="P56" s="8" t="s">
        <v>46</v>
      </c>
      <c r="Q56" s="8" t="s">
        <v>47</v>
      </c>
    </row>
    <row r="57" spans="1:17" x14ac:dyDescent="0.35">
      <c r="A57" s="2" t="s">
        <v>390</v>
      </c>
      <c r="B57" s="2">
        <v>2702343523</v>
      </c>
      <c r="C57" s="2" t="s">
        <v>391</v>
      </c>
      <c r="D57" s="2" t="s">
        <v>392</v>
      </c>
      <c r="E57" s="2" t="s">
        <v>393</v>
      </c>
      <c r="F57" s="2" t="s">
        <v>37</v>
      </c>
      <c r="G57" s="29" t="s">
        <v>270</v>
      </c>
      <c r="H57" s="29" t="s">
        <v>5</v>
      </c>
      <c r="I57" s="2" t="s">
        <v>394</v>
      </c>
      <c r="J57" s="2" t="s">
        <v>40</v>
      </c>
      <c r="K57" s="3" t="s">
        <v>107</v>
      </c>
      <c r="L57" s="3" t="s">
        <v>108</v>
      </c>
      <c r="M57" s="3" t="s">
        <v>109</v>
      </c>
      <c r="N57" s="4">
        <v>46055</v>
      </c>
      <c r="O57" s="3" t="s">
        <v>110</v>
      </c>
      <c r="P57" s="3" t="s">
        <v>46</v>
      </c>
      <c r="Q57" s="3" t="s">
        <v>47</v>
      </c>
    </row>
    <row r="58" spans="1:17" x14ac:dyDescent="0.35">
      <c r="A58" s="7" t="s">
        <v>395</v>
      </c>
      <c r="B58" s="7">
        <v>2702328264</v>
      </c>
      <c r="C58" s="7" t="s">
        <v>396</v>
      </c>
      <c r="D58" s="7" t="s">
        <v>397</v>
      </c>
      <c r="E58" s="7" t="s">
        <v>398</v>
      </c>
      <c r="F58" s="7" t="s">
        <v>61</v>
      </c>
      <c r="G58" s="26" t="s">
        <v>62</v>
      </c>
      <c r="H58" s="26" t="s">
        <v>8</v>
      </c>
      <c r="I58" s="7" t="s">
        <v>399</v>
      </c>
      <c r="J58" s="7" t="s">
        <v>54</v>
      </c>
      <c r="K58" s="13" t="s">
        <v>64</v>
      </c>
      <c r="L58" s="13" t="s">
        <v>400</v>
      </c>
      <c r="M58" s="13" t="s">
        <v>109</v>
      </c>
      <c r="N58" s="17">
        <v>46055</v>
      </c>
      <c r="O58" s="17">
        <v>46061</v>
      </c>
      <c r="P58" s="13" t="s">
        <v>66</v>
      </c>
      <c r="Q58" s="13" t="s">
        <v>47</v>
      </c>
    </row>
    <row r="59" spans="1:17" x14ac:dyDescent="0.35">
      <c r="A59" s="7" t="s">
        <v>401</v>
      </c>
      <c r="B59" s="7">
        <v>2702342924</v>
      </c>
      <c r="C59" s="7" t="s">
        <v>402</v>
      </c>
      <c r="D59" s="7" t="s">
        <v>403</v>
      </c>
      <c r="E59" s="7" t="s">
        <v>404</v>
      </c>
      <c r="F59" s="7" t="s">
        <v>37</v>
      </c>
      <c r="G59" s="26" t="s">
        <v>150</v>
      </c>
      <c r="H59" s="26" t="s">
        <v>6</v>
      </c>
      <c r="I59" s="7" t="s">
        <v>405</v>
      </c>
      <c r="J59" s="7" t="s">
        <v>406</v>
      </c>
      <c r="K59" s="8" t="s">
        <v>221</v>
      </c>
      <c r="L59" s="8" t="s">
        <v>222</v>
      </c>
      <c r="M59" s="8" t="s">
        <v>43</v>
      </c>
      <c r="N59" s="16">
        <v>46055</v>
      </c>
      <c r="O59" s="8" t="s">
        <v>45</v>
      </c>
      <c r="P59" s="8" t="s">
        <v>83</v>
      </c>
      <c r="Q59" s="8" t="s">
        <v>47</v>
      </c>
    </row>
    <row r="60" spans="1:17" x14ac:dyDescent="0.35">
      <c r="A60" s="2" t="s">
        <v>407</v>
      </c>
      <c r="B60" s="2">
        <v>2702262072</v>
      </c>
      <c r="C60" s="2" t="s">
        <v>408</v>
      </c>
      <c r="D60" s="2" t="s">
        <v>409</v>
      </c>
      <c r="E60" s="2" t="s">
        <v>410</v>
      </c>
      <c r="F60" s="2" t="s">
        <v>411</v>
      </c>
      <c r="G60" s="23"/>
      <c r="H60" s="23"/>
      <c r="I60" s="2" t="s">
        <v>412</v>
      </c>
      <c r="J60" s="2" t="s">
        <v>40</v>
      </c>
      <c r="K60" s="12" t="s">
        <v>413</v>
      </c>
      <c r="L60" s="12" t="s">
        <v>414</v>
      </c>
      <c r="M60" s="12" t="s">
        <v>260</v>
      </c>
      <c r="N60" s="12" t="s">
        <v>415</v>
      </c>
      <c r="O60" s="12" t="s">
        <v>416</v>
      </c>
      <c r="P60" s="12" t="s">
        <v>260</v>
      </c>
      <c r="Q60" s="12" t="s">
        <v>72</v>
      </c>
    </row>
    <row r="61" spans="1:17" x14ac:dyDescent="0.35">
      <c r="A61" s="7" t="s">
        <v>417</v>
      </c>
      <c r="B61" s="7">
        <v>2702361280</v>
      </c>
      <c r="C61" s="7" t="s">
        <v>418</v>
      </c>
      <c r="D61" s="7" t="s">
        <v>419</v>
      </c>
      <c r="E61" s="7" t="s">
        <v>420</v>
      </c>
      <c r="F61" s="7" t="s">
        <v>411</v>
      </c>
      <c r="G61" s="7"/>
      <c r="H61" s="7"/>
      <c r="I61" s="7" t="s">
        <v>421</v>
      </c>
      <c r="J61" s="7" t="s">
        <v>40</v>
      </c>
      <c r="K61" s="7" t="s">
        <v>422</v>
      </c>
      <c r="L61" s="7" t="s">
        <v>414</v>
      </c>
      <c r="M61" s="7" t="s">
        <v>260</v>
      </c>
      <c r="N61" s="7" t="s">
        <v>415</v>
      </c>
      <c r="O61" s="7" t="s">
        <v>416</v>
      </c>
      <c r="P61" s="7" t="s">
        <v>260</v>
      </c>
      <c r="Q61" s="7" t="s">
        <v>72</v>
      </c>
    </row>
    <row r="62" spans="1:17" x14ac:dyDescent="0.35">
      <c r="A62" s="2" t="s">
        <v>423</v>
      </c>
      <c r="B62" s="2">
        <v>2702223273</v>
      </c>
      <c r="C62" s="2" t="s">
        <v>424</v>
      </c>
      <c r="D62" s="2" t="s">
        <v>425</v>
      </c>
      <c r="E62" s="2" t="s">
        <v>426</v>
      </c>
      <c r="F62" s="2" t="s">
        <v>37</v>
      </c>
      <c r="G62" s="26" t="s">
        <v>270</v>
      </c>
      <c r="H62" s="26" t="s">
        <v>5</v>
      </c>
      <c r="I62" s="2" t="s">
        <v>421</v>
      </c>
      <c r="J62" s="2" t="s">
        <v>40</v>
      </c>
      <c r="K62" s="3" t="s">
        <v>427</v>
      </c>
      <c r="L62" s="3" t="s">
        <v>71</v>
      </c>
      <c r="M62" s="3" t="s">
        <v>43</v>
      </c>
      <c r="N62" s="4">
        <v>46055</v>
      </c>
      <c r="O62" s="3" t="s">
        <v>45</v>
      </c>
      <c r="P62" s="3" t="s">
        <v>83</v>
      </c>
      <c r="Q62" s="3" t="s">
        <v>72</v>
      </c>
    </row>
    <row r="63" spans="1:17" x14ac:dyDescent="0.35">
      <c r="A63" s="2" t="s">
        <v>428</v>
      </c>
      <c r="B63" s="2">
        <v>2702337382</v>
      </c>
      <c r="C63" s="2" t="s">
        <v>429</v>
      </c>
      <c r="D63" s="2" t="s">
        <v>430</v>
      </c>
      <c r="E63" s="2" t="s">
        <v>431</v>
      </c>
      <c r="F63" s="2" t="s">
        <v>257</v>
      </c>
      <c r="G63" s="29" t="s">
        <v>432</v>
      </c>
      <c r="H63" s="29" t="s">
        <v>1</v>
      </c>
      <c r="I63" s="2" t="s">
        <v>433</v>
      </c>
      <c r="J63" s="2" t="s">
        <v>406</v>
      </c>
      <c r="K63" s="2" t="s">
        <v>260</v>
      </c>
      <c r="L63" s="2" t="s">
        <v>260</v>
      </c>
      <c r="M63" s="2" t="s">
        <v>260</v>
      </c>
      <c r="N63" s="2" t="s">
        <v>260</v>
      </c>
      <c r="O63" s="2" t="s">
        <v>260</v>
      </c>
      <c r="P63" s="2" t="s">
        <v>260</v>
      </c>
      <c r="Q63" s="2" t="s">
        <v>72</v>
      </c>
    </row>
    <row r="64" spans="1:17" x14ac:dyDescent="0.35">
      <c r="A64" s="2" t="s">
        <v>434</v>
      </c>
      <c r="B64" s="2">
        <v>2702232971</v>
      </c>
      <c r="C64" s="2" t="s">
        <v>435</v>
      </c>
      <c r="D64" s="2" t="s">
        <v>436</v>
      </c>
      <c r="E64" s="2" t="s">
        <v>437</v>
      </c>
      <c r="F64" s="2" t="s">
        <v>37</v>
      </c>
      <c r="G64" s="26" t="s">
        <v>173</v>
      </c>
      <c r="H64" s="26" t="s">
        <v>7</v>
      </c>
      <c r="I64" s="2" t="s">
        <v>433</v>
      </c>
      <c r="J64" s="2" t="s">
        <v>54</v>
      </c>
      <c r="K64" s="6" t="s">
        <v>310</v>
      </c>
      <c r="L64" s="6" t="s">
        <v>438</v>
      </c>
      <c r="M64" s="6" t="s">
        <v>43</v>
      </c>
      <c r="N64" s="25">
        <v>46055</v>
      </c>
      <c r="O64" s="6" t="s">
        <v>45</v>
      </c>
      <c r="P64" s="6" t="s">
        <v>46</v>
      </c>
      <c r="Q64" s="6" t="s">
        <v>47</v>
      </c>
    </row>
    <row r="65" spans="1:17" x14ac:dyDescent="0.35">
      <c r="A65" s="2" t="s">
        <v>439</v>
      </c>
      <c r="B65" s="2">
        <v>2702361564</v>
      </c>
      <c r="C65" s="2" t="s">
        <v>440</v>
      </c>
      <c r="D65" s="2" t="s">
        <v>441</v>
      </c>
      <c r="E65" s="2" t="s">
        <v>442</v>
      </c>
      <c r="F65" s="2" t="s">
        <v>37</v>
      </c>
      <c r="G65" s="29" t="s">
        <v>77</v>
      </c>
      <c r="H65" s="29" t="s">
        <v>13</v>
      </c>
      <c r="I65" s="2" t="s">
        <v>443</v>
      </c>
      <c r="J65" s="2" t="s">
        <v>40</v>
      </c>
      <c r="K65" s="12" t="s">
        <v>78</v>
      </c>
      <c r="L65" s="12" t="s">
        <v>79</v>
      </c>
      <c r="M65" s="12" t="s">
        <v>80</v>
      </c>
      <c r="N65" s="12" t="s">
        <v>81</v>
      </c>
      <c r="O65" s="12" t="s">
        <v>82</v>
      </c>
      <c r="P65" s="12" t="s">
        <v>83</v>
      </c>
      <c r="Q65" s="12" t="s">
        <v>72</v>
      </c>
    </row>
    <row r="66" spans="1:17" x14ac:dyDescent="0.35">
      <c r="A66" s="2" t="s">
        <v>444</v>
      </c>
      <c r="B66" s="2">
        <v>2702228545</v>
      </c>
      <c r="C66" s="2" t="s">
        <v>445</v>
      </c>
      <c r="D66" s="2" t="s">
        <v>446</v>
      </c>
      <c r="E66" s="2" t="s">
        <v>447</v>
      </c>
      <c r="F66" s="2" t="s">
        <v>37</v>
      </c>
      <c r="G66" s="24" t="s">
        <v>214</v>
      </c>
      <c r="H66" s="23" t="s">
        <v>0</v>
      </c>
      <c r="I66" s="2" t="s">
        <v>448</v>
      </c>
      <c r="J66" s="2" t="s">
        <v>40</v>
      </c>
      <c r="K66" s="3" t="s">
        <v>107</v>
      </c>
      <c r="L66" s="3" t="s">
        <v>108</v>
      </c>
      <c r="M66" s="3" t="s">
        <v>109</v>
      </c>
      <c r="N66" s="4">
        <v>46055</v>
      </c>
      <c r="O66" s="3" t="s">
        <v>110</v>
      </c>
      <c r="P66" s="3" t="s">
        <v>46</v>
      </c>
      <c r="Q66" s="3" t="s">
        <v>47</v>
      </c>
    </row>
    <row r="67" spans="1:17" x14ac:dyDescent="0.35">
      <c r="A67" s="2" t="s">
        <v>449</v>
      </c>
      <c r="B67" s="2">
        <v>2702361583</v>
      </c>
      <c r="C67" s="2" t="s">
        <v>450</v>
      </c>
      <c r="D67" s="2" t="s">
        <v>451</v>
      </c>
      <c r="E67" s="2" t="s">
        <v>452</v>
      </c>
      <c r="F67" s="2" t="s">
        <v>37</v>
      </c>
      <c r="G67" s="29" t="s">
        <v>38</v>
      </c>
      <c r="H67" s="29" t="s">
        <v>12</v>
      </c>
      <c r="I67" s="2" t="s">
        <v>448</v>
      </c>
      <c r="J67" s="2" t="s">
        <v>40</v>
      </c>
      <c r="K67" s="2" t="s">
        <v>366</v>
      </c>
      <c r="L67" s="2" t="s">
        <v>367</v>
      </c>
      <c r="M67" s="2" t="s">
        <v>43</v>
      </c>
      <c r="N67" s="2" t="s">
        <v>368</v>
      </c>
      <c r="O67" s="2" t="s">
        <v>369</v>
      </c>
      <c r="P67" s="2" t="s">
        <v>46</v>
      </c>
      <c r="Q67" s="2" t="s">
        <v>72</v>
      </c>
    </row>
    <row r="68" spans="1:17" x14ac:dyDescent="0.35">
      <c r="A68" s="2" t="s">
        <v>453</v>
      </c>
      <c r="B68" s="2">
        <v>2702341871</v>
      </c>
      <c r="C68" s="2" t="s">
        <v>454</v>
      </c>
      <c r="D68" s="2" t="s">
        <v>455</v>
      </c>
      <c r="E68" s="2" t="s">
        <v>456</v>
      </c>
      <c r="F68" s="2" t="s">
        <v>37</v>
      </c>
      <c r="G68" s="29" t="s">
        <v>132</v>
      </c>
      <c r="H68" s="29" t="s">
        <v>9</v>
      </c>
      <c r="I68" s="2" t="s">
        <v>448</v>
      </c>
      <c r="J68" s="2" t="s">
        <v>40</v>
      </c>
      <c r="K68" s="6" t="s">
        <v>457</v>
      </c>
      <c r="L68" s="6" t="s">
        <v>326</v>
      </c>
      <c r="M68" s="6" t="s">
        <v>43</v>
      </c>
      <c r="N68" s="25">
        <v>46055</v>
      </c>
      <c r="O68" s="6" t="s">
        <v>45</v>
      </c>
      <c r="P68" s="6" t="s">
        <v>46</v>
      </c>
      <c r="Q68" s="6" t="s">
        <v>47</v>
      </c>
    </row>
    <row r="69" spans="1:17" x14ac:dyDescent="0.35">
      <c r="A69" s="7" t="s">
        <v>458</v>
      </c>
      <c r="B69" s="7">
        <v>2702260306</v>
      </c>
      <c r="C69" s="7" t="s">
        <v>459</v>
      </c>
      <c r="D69" s="7" t="s">
        <v>460</v>
      </c>
      <c r="E69" s="7" t="s">
        <v>461</v>
      </c>
      <c r="F69" s="7" t="s">
        <v>257</v>
      </c>
      <c r="G69" s="29" t="s">
        <v>297</v>
      </c>
      <c r="H69" s="29" t="s">
        <v>3</v>
      </c>
      <c r="I69" s="7" t="s">
        <v>462</v>
      </c>
      <c r="J69" s="7" t="s">
        <v>54</v>
      </c>
      <c r="K69" s="11" t="s">
        <v>260</v>
      </c>
      <c r="L69" s="11" t="s">
        <v>260</v>
      </c>
      <c r="M69" s="11" t="s">
        <v>260</v>
      </c>
      <c r="N69" s="11" t="s">
        <v>260</v>
      </c>
      <c r="O69" s="11" t="s">
        <v>260</v>
      </c>
      <c r="P69" s="11" t="s">
        <v>260</v>
      </c>
      <c r="Q69" s="11" t="s">
        <v>72</v>
      </c>
    </row>
    <row r="70" spans="1:17" x14ac:dyDescent="0.35">
      <c r="A70" s="2" t="s">
        <v>463</v>
      </c>
      <c r="B70" s="2">
        <v>2702228242</v>
      </c>
      <c r="C70" s="2" t="s">
        <v>464</v>
      </c>
      <c r="D70" s="2" t="s">
        <v>465</v>
      </c>
      <c r="E70" s="2" t="s">
        <v>466</v>
      </c>
      <c r="F70" s="2" t="s">
        <v>37</v>
      </c>
      <c r="G70" s="26" t="s">
        <v>158</v>
      </c>
      <c r="H70" s="26" t="s">
        <v>11</v>
      </c>
      <c r="I70" s="2" t="s">
        <v>462</v>
      </c>
      <c r="J70" s="2" t="s">
        <v>40</v>
      </c>
      <c r="K70" s="19" t="s">
        <v>107</v>
      </c>
      <c r="L70" s="19" t="s">
        <v>108</v>
      </c>
      <c r="M70" s="19" t="s">
        <v>109</v>
      </c>
      <c r="N70" s="20">
        <v>46055</v>
      </c>
      <c r="O70" s="19" t="s">
        <v>110</v>
      </c>
      <c r="P70" s="19" t="s">
        <v>46</v>
      </c>
      <c r="Q70" s="19" t="s">
        <v>47</v>
      </c>
    </row>
    <row r="71" spans="1:17" x14ac:dyDescent="0.35">
      <c r="A71" s="2" t="s">
        <v>467</v>
      </c>
      <c r="B71" s="2">
        <v>2702234491</v>
      </c>
      <c r="C71" s="2" t="s">
        <v>468</v>
      </c>
      <c r="D71" s="2" t="s">
        <v>469</v>
      </c>
      <c r="E71" s="2" t="s">
        <v>470</v>
      </c>
      <c r="F71" s="2" t="s">
        <v>257</v>
      </c>
      <c r="G71" s="29" t="s">
        <v>432</v>
      </c>
      <c r="H71" s="29" t="s">
        <v>1</v>
      </c>
      <c r="I71" s="2" t="s">
        <v>471</v>
      </c>
      <c r="J71" s="2" t="s">
        <v>54</v>
      </c>
      <c r="K71" s="2" t="s">
        <v>260</v>
      </c>
      <c r="L71" s="2" t="s">
        <v>260</v>
      </c>
      <c r="M71" s="2" t="s">
        <v>260</v>
      </c>
      <c r="N71" s="2" t="s">
        <v>260</v>
      </c>
      <c r="O71" s="2" t="s">
        <v>260</v>
      </c>
      <c r="P71" s="2" t="s">
        <v>260</v>
      </c>
      <c r="Q71" s="2" t="s">
        <v>72</v>
      </c>
    </row>
    <row r="72" spans="1:17" x14ac:dyDescent="0.35">
      <c r="A72" s="2" t="s">
        <v>472</v>
      </c>
      <c r="B72" s="2">
        <v>2702260262</v>
      </c>
      <c r="C72" s="2" t="s">
        <v>473</v>
      </c>
      <c r="D72" s="2" t="s">
        <v>474</v>
      </c>
      <c r="E72" s="2" t="s">
        <v>475</v>
      </c>
      <c r="F72" s="2" t="s">
        <v>61</v>
      </c>
      <c r="G72" s="26" t="s">
        <v>62</v>
      </c>
      <c r="H72" s="26" t="s">
        <v>8</v>
      </c>
      <c r="I72" s="2" t="s">
        <v>471</v>
      </c>
      <c r="J72" s="2" t="s">
        <v>40</v>
      </c>
      <c r="K72" s="3" t="s">
        <v>64</v>
      </c>
      <c r="L72" s="3" t="s">
        <v>476</v>
      </c>
      <c r="M72" s="3" t="s">
        <v>109</v>
      </c>
      <c r="N72" s="4">
        <v>46055</v>
      </c>
      <c r="O72" s="4">
        <v>46061</v>
      </c>
      <c r="P72" s="3" t="s">
        <v>66</v>
      </c>
      <c r="Q72" s="3" t="s">
        <v>47</v>
      </c>
    </row>
    <row r="73" spans="1:17" x14ac:dyDescent="0.35">
      <c r="A73" s="2" t="s">
        <v>477</v>
      </c>
      <c r="B73" s="2">
        <v>2702262601</v>
      </c>
      <c r="C73" s="2" t="s">
        <v>478</v>
      </c>
      <c r="D73" s="2" t="s">
        <v>479</v>
      </c>
      <c r="E73" s="2" t="s">
        <v>480</v>
      </c>
      <c r="F73" s="2" t="s">
        <v>37</v>
      </c>
      <c r="G73" s="26" t="s">
        <v>173</v>
      </c>
      <c r="H73" s="26" t="s">
        <v>7</v>
      </c>
      <c r="I73" s="2" t="s">
        <v>471</v>
      </c>
      <c r="J73" s="2" t="s">
        <v>54</v>
      </c>
      <c r="K73" s="6" t="s">
        <v>481</v>
      </c>
      <c r="L73" s="6" t="s">
        <v>482</v>
      </c>
      <c r="M73" s="6" t="s">
        <v>109</v>
      </c>
      <c r="N73" s="25">
        <v>46055</v>
      </c>
      <c r="O73" s="25">
        <v>46061</v>
      </c>
      <c r="P73" s="6" t="s">
        <v>46</v>
      </c>
      <c r="Q73" s="6" t="s">
        <v>47</v>
      </c>
    </row>
    <row r="74" spans="1:17" x14ac:dyDescent="0.35">
      <c r="A74" s="2" t="s">
        <v>483</v>
      </c>
      <c r="B74" s="2">
        <v>2702262066</v>
      </c>
      <c r="C74" s="2" t="s">
        <v>484</v>
      </c>
      <c r="D74" s="2" t="s">
        <v>485</v>
      </c>
      <c r="E74" s="2" t="s">
        <v>486</v>
      </c>
      <c r="F74" s="2" t="s">
        <v>37</v>
      </c>
      <c r="G74" s="26" t="s">
        <v>173</v>
      </c>
      <c r="H74" s="26" t="s">
        <v>7</v>
      </c>
      <c r="I74" s="2" t="s">
        <v>487</v>
      </c>
      <c r="J74" s="2" t="s">
        <v>40</v>
      </c>
      <c r="K74" s="2" t="s">
        <v>488</v>
      </c>
      <c r="L74" s="2" t="s">
        <v>482</v>
      </c>
      <c r="M74" s="2" t="s">
        <v>43</v>
      </c>
      <c r="N74" s="2" t="s">
        <v>44</v>
      </c>
      <c r="O74" s="2" t="s">
        <v>45</v>
      </c>
      <c r="P74" s="2" t="s">
        <v>46</v>
      </c>
      <c r="Q74" s="2" t="s">
        <v>47</v>
      </c>
    </row>
    <row r="75" spans="1:17" x14ac:dyDescent="0.35">
      <c r="A75" s="2" t="s">
        <v>489</v>
      </c>
      <c r="B75" s="2">
        <v>2702275535</v>
      </c>
      <c r="C75" s="2" t="s">
        <v>490</v>
      </c>
      <c r="D75" s="2" t="s">
        <v>491</v>
      </c>
      <c r="E75" s="2" t="s">
        <v>492</v>
      </c>
      <c r="F75" s="2" t="s">
        <v>37</v>
      </c>
      <c r="G75" s="29" t="s">
        <v>38</v>
      </c>
      <c r="H75" s="29" t="s">
        <v>12</v>
      </c>
      <c r="I75" s="2" t="s">
        <v>493</v>
      </c>
      <c r="J75" s="2" t="s">
        <v>40</v>
      </c>
      <c r="K75" s="3" t="s">
        <v>366</v>
      </c>
      <c r="L75" s="3" t="s">
        <v>56</v>
      </c>
      <c r="M75" s="3" t="s">
        <v>43</v>
      </c>
      <c r="N75" s="4">
        <v>46055</v>
      </c>
      <c r="O75" s="3" t="s">
        <v>45</v>
      </c>
      <c r="P75" s="3" t="s">
        <v>46</v>
      </c>
      <c r="Q75" s="3" t="s">
        <v>47</v>
      </c>
    </row>
    <row r="76" spans="1:17" x14ac:dyDescent="0.35">
      <c r="A76" s="7" t="s">
        <v>494</v>
      </c>
      <c r="B76" s="7">
        <v>2702280043</v>
      </c>
      <c r="C76" s="7" t="s">
        <v>495</v>
      </c>
      <c r="D76" s="7" t="s">
        <v>496</v>
      </c>
      <c r="E76" s="7" t="s">
        <v>497</v>
      </c>
      <c r="F76" s="7" t="s">
        <v>37</v>
      </c>
      <c r="G76" s="26" t="s">
        <v>297</v>
      </c>
      <c r="H76" s="26" t="s">
        <v>3</v>
      </c>
      <c r="I76" s="7" t="s">
        <v>498</v>
      </c>
      <c r="J76" s="7" t="s">
        <v>40</v>
      </c>
      <c r="K76" s="13" t="s">
        <v>499</v>
      </c>
      <c r="L76" s="13" t="s">
        <v>108</v>
      </c>
      <c r="M76" s="13" t="s">
        <v>43</v>
      </c>
      <c r="N76" s="17">
        <v>46055</v>
      </c>
      <c r="O76" s="17">
        <v>46420</v>
      </c>
      <c r="P76" s="13" t="s">
        <v>46</v>
      </c>
      <c r="Q76" s="13" t="s">
        <v>47</v>
      </c>
    </row>
    <row r="77" spans="1:17" x14ac:dyDescent="0.35">
      <c r="A77" s="2" t="s">
        <v>500</v>
      </c>
      <c r="B77" s="2">
        <v>2702296016</v>
      </c>
      <c r="C77" s="2" t="s">
        <v>501</v>
      </c>
      <c r="D77" s="2" t="s">
        <v>502</v>
      </c>
      <c r="E77" s="2" t="s">
        <v>503</v>
      </c>
      <c r="F77" s="2" t="s">
        <v>37</v>
      </c>
      <c r="G77" s="29" t="s">
        <v>77</v>
      </c>
      <c r="H77" s="29" t="s">
        <v>13</v>
      </c>
      <c r="I77" s="2" t="s">
        <v>504</v>
      </c>
      <c r="J77" s="2" t="s">
        <v>54</v>
      </c>
      <c r="K77" s="12" t="s">
        <v>78</v>
      </c>
      <c r="L77" s="12" t="s">
        <v>79</v>
      </c>
      <c r="M77" s="12" t="s">
        <v>80</v>
      </c>
      <c r="N77" s="12" t="s">
        <v>81</v>
      </c>
      <c r="O77" s="12" t="s">
        <v>82</v>
      </c>
      <c r="P77" s="12" t="s">
        <v>83</v>
      </c>
      <c r="Q77" s="12" t="s">
        <v>72</v>
      </c>
    </row>
    <row r="78" spans="1:17" x14ac:dyDescent="0.35">
      <c r="A78" s="7" t="s">
        <v>505</v>
      </c>
      <c r="B78" s="7">
        <v>2702228873</v>
      </c>
      <c r="C78" s="7" t="s">
        <v>506</v>
      </c>
      <c r="D78" s="7" t="s">
        <v>507</v>
      </c>
      <c r="E78" s="7" t="s">
        <v>508</v>
      </c>
      <c r="F78" s="7" t="s">
        <v>257</v>
      </c>
      <c r="G78" s="29" t="s">
        <v>432</v>
      </c>
      <c r="H78" s="29" t="s">
        <v>1</v>
      </c>
      <c r="I78" s="7" t="s">
        <v>509</v>
      </c>
      <c r="J78" s="7" t="s">
        <v>406</v>
      </c>
      <c r="K78" s="7" t="s">
        <v>260</v>
      </c>
      <c r="L78" s="7" t="s">
        <v>260</v>
      </c>
      <c r="M78" s="7" t="s">
        <v>260</v>
      </c>
      <c r="N78" s="7" t="s">
        <v>260</v>
      </c>
      <c r="O78" s="7" t="s">
        <v>260</v>
      </c>
      <c r="P78" s="7" t="s">
        <v>260</v>
      </c>
      <c r="Q78" s="7" t="s">
        <v>72</v>
      </c>
    </row>
    <row r="79" spans="1:17" x14ac:dyDescent="0.35">
      <c r="A79" s="2" t="s">
        <v>510</v>
      </c>
      <c r="B79" s="2">
        <v>2702379100</v>
      </c>
      <c r="C79" s="2" t="s">
        <v>511</v>
      </c>
      <c r="D79" s="2" t="s">
        <v>512</v>
      </c>
      <c r="E79" s="2" t="s">
        <v>513</v>
      </c>
      <c r="F79" s="2" t="s">
        <v>257</v>
      </c>
      <c r="G79" s="29" t="s">
        <v>297</v>
      </c>
      <c r="H79" s="29" t="s">
        <v>3</v>
      </c>
      <c r="I79" s="2" t="s">
        <v>509</v>
      </c>
      <c r="J79" s="2" t="s">
        <v>54</v>
      </c>
      <c r="K79" s="2" t="s">
        <v>260</v>
      </c>
      <c r="L79" s="2" t="s">
        <v>260</v>
      </c>
      <c r="M79" s="2" t="s">
        <v>260</v>
      </c>
      <c r="N79" s="2" t="s">
        <v>260</v>
      </c>
      <c r="O79" s="2" t="s">
        <v>260</v>
      </c>
      <c r="P79" s="2" t="s">
        <v>260</v>
      </c>
      <c r="Q79" s="2" t="s">
        <v>72</v>
      </c>
    </row>
    <row r="80" spans="1:17" x14ac:dyDescent="0.35">
      <c r="A80" s="2" t="s">
        <v>514</v>
      </c>
      <c r="B80" s="2">
        <v>2702352383</v>
      </c>
      <c r="C80" s="2" t="s">
        <v>515</v>
      </c>
      <c r="D80" s="2" t="s">
        <v>516</v>
      </c>
      <c r="E80" s="2" t="s">
        <v>517</v>
      </c>
      <c r="F80" s="2" t="s">
        <v>37</v>
      </c>
      <c r="G80" s="23" t="s">
        <v>214</v>
      </c>
      <c r="H80" s="23" t="s">
        <v>0</v>
      </c>
      <c r="I80" s="2" t="s">
        <v>509</v>
      </c>
      <c r="J80" s="2" t="s">
        <v>40</v>
      </c>
      <c r="K80" s="3" t="s">
        <v>107</v>
      </c>
      <c r="L80" s="3" t="s">
        <v>108</v>
      </c>
      <c r="M80" s="3" t="s">
        <v>109</v>
      </c>
      <c r="N80" s="4">
        <v>46055</v>
      </c>
      <c r="O80" s="3" t="s">
        <v>110</v>
      </c>
      <c r="P80" s="3" t="s">
        <v>46</v>
      </c>
      <c r="Q80" s="3" t="s">
        <v>47</v>
      </c>
    </row>
    <row r="81" spans="1:17" x14ac:dyDescent="0.35">
      <c r="A81" s="7" t="s">
        <v>518</v>
      </c>
      <c r="B81" s="7">
        <v>2702324202</v>
      </c>
      <c r="C81" s="7" t="s">
        <v>519</v>
      </c>
      <c r="D81" s="7" t="s">
        <v>520</v>
      </c>
      <c r="E81" s="7" t="s">
        <v>521</v>
      </c>
      <c r="F81" s="7" t="s">
        <v>61</v>
      </c>
      <c r="G81" s="29" t="s">
        <v>62</v>
      </c>
      <c r="H81" s="29" t="s">
        <v>8</v>
      </c>
      <c r="I81" s="7" t="s">
        <v>522</v>
      </c>
      <c r="J81" s="7" t="s">
        <v>54</v>
      </c>
      <c r="K81" s="14" t="s">
        <v>64</v>
      </c>
      <c r="L81" s="14" t="s">
        <v>65</v>
      </c>
      <c r="M81" s="14" t="s">
        <v>43</v>
      </c>
      <c r="N81" s="15">
        <v>46055</v>
      </c>
      <c r="O81" s="15">
        <v>46420</v>
      </c>
      <c r="P81" s="14" t="s">
        <v>66</v>
      </c>
      <c r="Q81" s="14" t="s">
        <v>47</v>
      </c>
    </row>
    <row r="82" spans="1:17" x14ac:dyDescent="0.35">
      <c r="A82" s="2" t="s">
        <v>523</v>
      </c>
      <c r="B82" s="2">
        <v>2702374535</v>
      </c>
      <c r="C82" s="2" t="s">
        <v>524</v>
      </c>
      <c r="D82" s="2" t="s">
        <v>525</v>
      </c>
      <c r="E82" s="2" t="s">
        <v>526</v>
      </c>
      <c r="F82" s="2" t="s">
        <v>61</v>
      </c>
      <c r="G82" s="29" t="s">
        <v>62</v>
      </c>
      <c r="H82" s="29" t="s">
        <v>8</v>
      </c>
      <c r="I82" s="2" t="s">
        <v>527</v>
      </c>
      <c r="J82" s="2" t="s">
        <v>54</v>
      </c>
      <c r="K82" s="3" t="s">
        <v>64</v>
      </c>
      <c r="L82" s="3" t="s">
        <v>476</v>
      </c>
      <c r="M82" s="3" t="s">
        <v>109</v>
      </c>
      <c r="N82" s="4">
        <v>46055</v>
      </c>
      <c r="O82" s="4">
        <v>46061</v>
      </c>
      <c r="P82" s="3" t="s">
        <v>66</v>
      </c>
      <c r="Q82" s="3" t="s">
        <v>47</v>
      </c>
    </row>
    <row r="83" spans="1:17" x14ac:dyDescent="0.35">
      <c r="A83" s="7" t="s">
        <v>528</v>
      </c>
      <c r="B83" s="7">
        <v>2702328043</v>
      </c>
      <c r="C83" s="7" t="s">
        <v>529</v>
      </c>
      <c r="D83" s="7" t="s">
        <v>530</v>
      </c>
      <c r="E83" s="7" t="s">
        <v>531</v>
      </c>
      <c r="F83" s="7" t="s">
        <v>37</v>
      </c>
      <c r="G83" s="26" t="s">
        <v>158</v>
      </c>
      <c r="H83" s="26" t="s">
        <v>11</v>
      </c>
      <c r="I83" s="7" t="s">
        <v>527</v>
      </c>
      <c r="J83" s="7" t="s">
        <v>40</v>
      </c>
      <c r="K83" s="9" t="s">
        <v>532</v>
      </c>
      <c r="L83" s="9" t="s">
        <v>533</v>
      </c>
      <c r="M83" s="9" t="s">
        <v>43</v>
      </c>
      <c r="N83" s="10">
        <v>46055</v>
      </c>
      <c r="O83" s="9" t="s">
        <v>45</v>
      </c>
      <c r="P83" s="9" t="s">
        <v>46</v>
      </c>
      <c r="Q83" s="9" t="s">
        <v>47</v>
      </c>
    </row>
    <row r="84" spans="1:17" x14ac:dyDescent="0.35">
      <c r="A84" s="2" t="s">
        <v>534</v>
      </c>
      <c r="B84" s="2">
        <v>2702339835</v>
      </c>
      <c r="C84" s="2" t="s">
        <v>535</v>
      </c>
      <c r="D84" s="2" t="s">
        <v>536</v>
      </c>
      <c r="E84" s="2" t="s">
        <v>537</v>
      </c>
      <c r="F84" s="2" t="s">
        <v>37</v>
      </c>
      <c r="G84" s="29" t="s">
        <v>132</v>
      </c>
      <c r="H84" s="29" t="s">
        <v>9</v>
      </c>
      <c r="I84" s="2" t="s">
        <v>538</v>
      </c>
      <c r="J84" s="2" t="s">
        <v>40</v>
      </c>
      <c r="K84" s="12" t="s">
        <v>332</v>
      </c>
      <c r="L84" s="12" t="s">
        <v>56</v>
      </c>
      <c r="M84" s="12" t="s">
        <v>43</v>
      </c>
      <c r="N84" s="12" t="s">
        <v>44</v>
      </c>
      <c r="O84" s="12" t="s">
        <v>45</v>
      </c>
      <c r="P84" s="12" t="s">
        <v>83</v>
      </c>
      <c r="Q84" s="12" t="s">
        <v>47</v>
      </c>
    </row>
    <row r="85" spans="1:17" x14ac:dyDescent="0.35">
      <c r="A85" s="7" t="s">
        <v>539</v>
      </c>
      <c r="B85" s="7">
        <v>2702232050</v>
      </c>
      <c r="C85" s="7" t="s">
        <v>540</v>
      </c>
      <c r="D85" s="7" t="s">
        <v>541</v>
      </c>
      <c r="E85" s="7" t="s">
        <v>542</v>
      </c>
      <c r="F85" s="7" t="s">
        <v>37</v>
      </c>
      <c r="G85" s="29" t="s">
        <v>38</v>
      </c>
      <c r="H85" s="29" t="s">
        <v>12</v>
      </c>
      <c r="I85" s="7" t="s">
        <v>538</v>
      </c>
      <c r="J85" s="7" t="s">
        <v>40</v>
      </c>
      <c r="K85" s="8" t="s">
        <v>543</v>
      </c>
      <c r="L85" s="8" t="s">
        <v>544</v>
      </c>
      <c r="M85" s="8" t="s">
        <v>43</v>
      </c>
      <c r="N85" s="16">
        <v>46055</v>
      </c>
      <c r="O85" s="8" t="s">
        <v>45</v>
      </c>
      <c r="P85" s="8" t="s">
        <v>46</v>
      </c>
      <c r="Q85" s="8" t="s">
        <v>47</v>
      </c>
    </row>
    <row r="86" spans="1:17" x14ac:dyDescent="0.35">
      <c r="A86" s="2" t="s">
        <v>545</v>
      </c>
      <c r="B86" s="2">
        <v>2702250053</v>
      </c>
      <c r="C86" s="2" t="s">
        <v>546</v>
      </c>
      <c r="D86" s="2" t="s">
        <v>547</v>
      </c>
      <c r="E86" s="2" t="s">
        <v>548</v>
      </c>
      <c r="F86" s="2" t="s">
        <v>37</v>
      </c>
      <c r="G86" s="26" t="s">
        <v>105</v>
      </c>
      <c r="H86" s="26" t="s">
        <v>4</v>
      </c>
      <c r="I86" s="2" t="s">
        <v>549</v>
      </c>
      <c r="J86" s="2" t="s">
        <v>54</v>
      </c>
      <c r="K86" s="3" t="s">
        <v>107</v>
      </c>
      <c r="L86" s="3" t="s">
        <v>108</v>
      </c>
      <c r="M86" s="3" t="s">
        <v>109</v>
      </c>
      <c r="N86" s="4">
        <v>46055</v>
      </c>
      <c r="O86" s="3" t="s">
        <v>110</v>
      </c>
      <c r="P86" s="3" t="s">
        <v>46</v>
      </c>
      <c r="Q86" s="3" t="s">
        <v>72</v>
      </c>
    </row>
    <row r="87" spans="1:17" x14ac:dyDescent="0.35">
      <c r="A87" s="2" t="s">
        <v>550</v>
      </c>
      <c r="B87" s="2">
        <v>2702260382</v>
      </c>
      <c r="C87" s="2" t="s">
        <v>551</v>
      </c>
      <c r="D87" s="2" t="s">
        <v>552</v>
      </c>
      <c r="E87" s="2" t="s">
        <v>553</v>
      </c>
      <c r="F87" s="2" t="s">
        <v>37</v>
      </c>
      <c r="G87" s="26" t="s">
        <v>150</v>
      </c>
      <c r="H87" s="26" t="s">
        <v>6</v>
      </c>
      <c r="I87" s="2" t="s">
        <v>549</v>
      </c>
      <c r="J87" s="2" t="s">
        <v>40</v>
      </c>
      <c r="K87" s="6" t="s">
        <v>554</v>
      </c>
      <c r="L87" s="6" t="s">
        <v>438</v>
      </c>
      <c r="M87" s="6" t="s">
        <v>43</v>
      </c>
      <c r="N87" s="25">
        <v>46055</v>
      </c>
      <c r="O87" s="25">
        <v>46420</v>
      </c>
      <c r="P87" s="6" t="s">
        <v>46</v>
      </c>
      <c r="Q87" s="6" t="s">
        <v>72</v>
      </c>
    </row>
    <row r="88" spans="1:17" x14ac:dyDescent="0.35">
      <c r="A88" s="2" t="s">
        <v>555</v>
      </c>
      <c r="B88" s="2">
        <v>2702279621</v>
      </c>
      <c r="C88" s="2" t="s">
        <v>556</v>
      </c>
      <c r="D88" s="2" t="s">
        <v>557</v>
      </c>
      <c r="E88" s="2" t="s">
        <v>558</v>
      </c>
      <c r="F88" s="2" t="s">
        <v>61</v>
      </c>
      <c r="G88" s="29" t="s">
        <v>62</v>
      </c>
      <c r="H88" s="29" t="s">
        <v>8</v>
      </c>
      <c r="I88" s="2" t="s">
        <v>559</v>
      </c>
      <c r="J88" s="2" t="s">
        <v>40</v>
      </c>
      <c r="K88" s="19" t="s">
        <v>64</v>
      </c>
      <c r="L88" s="19" t="s">
        <v>476</v>
      </c>
      <c r="M88" s="19" t="s">
        <v>109</v>
      </c>
      <c r="N88" s="20">
        <v>46055</v>
      </c>
      <c r="O88" s="20">
        <v>46061</v>
      </c>
      <c r="P88" s="19" t="s">
        <v>66</v>
      </c>
      <c r="Q88" s="19" t="s">
        <v>47</v>
      </c>
    </row>
    <row r="89" spans="1:17" x14ac:dyDescent="0.35">
      <c r="A89" s="2" t="s">
        <v>560</v>
      </c>
      <c r="B89" s="2">
        <v>2702262564</v>
      </c>
      <c r="C89" s="2" t="s">
        <v>561</v>
      </c>
      <c r="D89" s="2" t="s">
        <v>562</v>
      </c>
      <c r="E89" s="2" t="s">
        <v>563</v>
      </c>
      <c r="F89" s="2" t="s">
        <v>37</v>
      </c>
      <c r="G89" s="7" t="s">
        <v>214</v>
      </c>
      <c r="H89" s="2" t="s">
        <v>0</v>
      </c>
      <c r="I89" s="2" t="s">
        <v>564</v>
      </c>
      <c r="J89" s="2" t="s">
        <v>40</v>
      </c>
      <c r="K89" s="3" t="s">
        <v>107</v>
      </c>
      <c r="L89" s="3" t="s">
        <v>108</v>
      </c>
      <c r="M89" s="3" t="s">
        <v>109</v>
      </c>
      <c r="N89" s="4">
        <v>46055</v>
      </c>
      <c r="O89" s="3" t="s">
        <v>110</v>
      </c>
      <c r="P89" s="3" t="s">
        <v>46</v>
      </c>
      <c r="Q89" s="3" t="s">
        <v>47</v>
      </c>
    </row>
    <row r="90" spans="1:17" x14ac:dyDescent="0.35">
      <c r="A90" s="7" t="s">
        <v>565</v>
      </c>
      <c r="B90" s="7">
        <v>2702230966</v>
      </c>
      <c r="C90" s="7" t="s">
        <v>566</v>
      </c>
      <c r="D90" s="7" t="s">
        <v>567</v>
      </c>
      <c r="E90" s="7" t="s">
        <v>568</v>
      </c>
      <c r="F90" s="7" t="s">
        <v>37</v>
      </c>
      <c r="G90" s="26" t="s">
        <v>258</v>
      </c>
      <c r="H90" s="26" t="s">
        <v>10</v>
      </c>
      <c r="I90" s="7" t="s">
        <v>569</v>
      </c>
      <c r="J90" s="7" t="s">
        <v>54</v>
      </c>
      <c r="K90" s="13" t="s">
        <v>107</v>
      </c>
      <c r="L90" s="13" t="s">
        <v>108</v>
      </c>
      <c r="M90" s="13" t="s">
        <v>109</v>
      </c>
      <c r="N90" s="17">
        <v>46055</v>
      </c>
      <c r="O90" s="13" t="s">
        <v>110</v>
      </c>
      <c r="P90" s="13" t="s">
        <v>46</v>
      </c>
      <c r="Q90" s="13" t="s">
        <v>47</v>
      </c>
    </row>
    <row r="91" spans="1:17" x14ac:dyDescent="0.35">
      <c r="A91" s="2" t="s">
        <v>570</v>
      </c>
      <c r="B91" s="2">
        <v>2702314460</v>
      </c>
      <c r="C91" s="2" t="s">
        <v>571</v>
      </c>
      <c r="D91" s="2" t="s">
        <v>572</v>
      </c>
      <c r="E91" s="2" t="s">
        <v>573</v>
      </c>
      <c r="F91" s="2" t="s">
        <v>257</v>
      </c>
      <c r="G91" s="26" t="s">
        <v>297</v>
      </c>
      <c r="H91" s="26" t="s">
        <v>3</v>
      </c>
      <c r="I91" s="2" t="s">
        <v>574</v>
      </c>
      <c r="J91" s="2" t="s">
        <v>54</v>
      </c>
      <c r="K91" s="12" t="s">
        <v>260</v>
      </c>
      <c r="L91" s="12" t="s">
        <v>260</v>
      </c>
      <c r="M91" s="12" t="s">
        <v>260</v>
      </c>
      <c r="N91" s="12" t="s">
        <v>260</v>
      </c>
      <c r="O91" s="12" t="s">
        <v>260</v>
      </c>
      <c r="P91" s="12" t="s">
        <v>260</v>
      </c>
      <c r="Q91" s="12" t="s">
        <v>72</v>
      </c>
    </row>
    <row r="92" spans="1:17" x14ac:dyDescent="0.35">
      <c r="A92" s="7" t="s">
        <v>575</v>
      </c>
      <c r="B92" s="7">
        <v>2702379132</v>
      </c>
      <c r="C92" s="7" t="s">
        <v>576</v>
      </c>
      <c r="D92" s="7" t="s">
        <v>577</v>
      </c>
      <c r="E92" s="7" t="s">
        <v>578</v>
      </c>
      <c r="F92" s="7" t="s">
        <v>37</v>
      </c>
      <c r="G92" s="26" t="s">
        <v>77</v>
      </c>
      <c r="H92" s="26" t="s">
        <v>13</v>
      </c>
      <c r="I92" s="7" t="s">
        <v>574</v>
      </c>
      <c r="J92" s="7" t="s">
        <v>40</v>
      </c>
      <c r="K92" s="14" t="s">
        <v>107</v>
      </c>
      <c r="L92" s="14" t="s">
        <v>108</v>
      </c>
      <c r="M92" s="14" t="s">
        <v>109</v>
      </c>
      <c r="N92" s="15">
        <v>46055</v>
      </c>
      <c r="O92" s="14" t="s">
        <v>110</v>
      </c>
      <c r="P92" s="14" t="s">
        <v>46</v>
      </c>
      <c r="Q92" s="14" t="s">
        <v>47</v>
      </c>
    </row>
    <row r="93" spans="1:17" x14ac:dyDescent="0.35">
      <c r="A93" s="2" t="s">
        <v>579</v>
      </c>
      <c r="B93" s="2">
        <v>2702359793</v>
      </c>
      <c r="C93" s="2" t="s">
        <v>580</v>
      </c>
      <c r="D93" s="2" t="s">
        <v>581</v>
      </c>
      <c r="E93" s="2" t="s">
        <v>582</v>
      </c>
      <c r="F93" s="2" t="s">
        <v>37</v>
      </c>
      <c r="G93" s="26" t="s">
        <v>105</v>
      </c>
      <c r="H93" s="26" t="s">
        <v>4</v>
      </c>
      <c r="I93" s="2" t="s">
        <v>574</v>
      </c>
      <c r="J93" s="2" t="s">
        <v>40</v>
      </c>
      <c r="K93" s="2" t="s">
        <v>583</v>
      </c>
      <c r="L93" s="2" t="s">
        <v>71</v>
      </c>
      <c r="M93" s="2" t="s">
        <v>43</v>
      </c>
      <c r="N93" s="2" t="s">
        <v>44</v>
      </c>
      <c r="O93" s="2" t="s">
        <v>45</v>
      </c>
      <c r="P93" s="2" t="s">
        <v>46</v>
      </c>
      <c r="Q93" s="2" t="s">
        <v>72</v>
      </c>
    </row>
    <row r="94" spans="1:17" x14ac:dyDescent="0.35">
      <c r="A94" s="2" t="s">
        <v>584</v>
      </c>
      <c r="B94" s="2">
        <v>2702332330</v>
      </c>
      <c r="C94" s="2" t="s">
        <v>585</v>
      </c>
      <c r="D94" s="2" t="s">
        <v>586</v>
      </c>
      <c r="E94" s="2" t="s">
        <v>587</v>
      </c>
      <c r="F94" s="2" t="s">
        <v>37</v>
      </c>
      <c r="G94" s="29" t="s">
        <v>270</v>
      </c>
      <c r="H94" s="29" t="s">
        <v>5</v>
      </c>
      <c r="I94" s="2" t="s">
        <v>574</v>
      </c>
      <c r="J94" s="2" t="s">
        <v>40</v>
      </c>
      <c r="K94" s="3" t="s">
        <v>588</v>
      </c>
      <c r="L94" s="3" t="s">
        <v>589</v>
      </c>
      <c r="M94" s="3" t="s">
        <v>43</v>
      </c>
      <c r="N94" s="4">
        <v>46055</v>
      </c>
      <c r="O94" s="3" t="s">
        <v>45</v>
      </c>
      <c r="P94" s="3" t="s">
        <v>83</v>
      </c>
      <c r="Q94" s="3" t="s">
        <v>47</v>
      </c>
    </row>
    <row r="95" spans="1:17" x14ac:dyDescent="0.35">
      <c r="A95" s="2" t="s">
        <v>590</v>
      </c>
      <c r="B95" s="2">
        <v>2702262476</v>
      </c>
      <c r="C95" s="2" t="s">
        <v>591</v>
      </c>
      <c r="D95" s="2" t="s">
        <v>592</v>
      </c>
      <c r="E95" s="2" t="s">
        <v>593</v>
      </c>
      <c r="F95" s="2" t="s">
        <v>257</v>
      </c>
      <c r="G95" s="29" t="s">
        <v>297</v>
      </c>
      <c r="H95" s="29" t="s">
        <v>3</v>
      </c>
      <c r="I95" s="2" t="s">
        <v>594</v>
      </c>
      <c r="J95" s="2" t="s">
        <v>595</v>
      </c>
      <c r="K95" s="12" t="s">
        <v>260</v>
      </c>
      <c r="L95" s="12" t="s">
        <v>260</v>
      </c>
      <c r="M95" s="12" t="s">
        <v>260</v>
      </c>
      <c r="N95" s="12" t="s">
        <v>260</v>
      </c>
      <c r="O95" s="12" t="s">
        <v>260</v>
      </c>
      <c r="P95" s="12" t="s">
        <v>260</v>
      </c>
      <c r="Q95" s="12" t="s">
        <v>72</v>
      </c>
    </row>
    <row r="96" spans="1:17" x14ac:dyDescent="0.35">
      <c r="A96" s="7" t="s">
        <v>596</v>
      </c>
      <c r="B96" s="7">
        <v>2702331763</v>
      </c>
      <c r="C96" s="7" t="s">
        <v>597</v>
      </c>
      <c r="D96" s="7" t="s">
        <v>598</v>
      </c>
      <c r="E96" s="7" t="s">
        <v>599</v>
      </c>
      <c r="F96" s="7" t="s">
        <v>37</v>
      </c>
      <c r="G96" s="29" t="s">
        <v>173</v>
      </c>
      <c r="H96" s="29" t="s">
        <v>7</v>
      </c>
      <c r="I96" s="7" t="s">
        <v>594</v>
      </c>
      <c r="J96" s="7" t="s">
        <v>406</v>
      </c>
      <c r="K96" s="11" t="s">
        <v>292</v>
      </c>
      <c r="L96" s="11" t="s">
        <v>600</v>
      </c>
      <c r="M96" s="11" t="s">
        <v>43</v>
      </c>
      <c r="N96" s="11" t="s">
        <v>44</v>
      </c>
      <c r="O96" s="11" t="s">
        <v>153</v>
      </c>
      <c r="P96" s="11" t="s">
        <v>46</v>
      </c>
      <c r="Q96" s="11" t="s">
        <v>72</v>
      </c>
    </row>
    <row r="97" spans="1:17" x14ac:dyDescent="0.35">
      <c r="A97" s="2" t="s">
        <v>601</v>
      </c>
      <c r="B97" s="2">
        <v>2702267262</v>
      </c>
      <c r="C97" s="2" t="s">
        <v>602</v>
      </c>
      <c r="D97" s="2" t="s">
        <v>603</v>
      </c>
      <c r="E97" s="2" t="s">
        <v>604</v>
      </c>
      <c r="F97" s="2" t="s">
        <v>37</v>
      </c>
      <c r="G97" s="26" t="s">
        <v>105</v>
      </c>
      <c r="H97" s="26" t="s">
        <v>4</v>
      </c>
      <c r="I97" s="2" t="s">
        <v>605</v>
      </c>
      <c r="J97" s="2" t="s">
        <v>40</v>
      </c>
      <c r="K97" s="3" t="s">
        <v>107</v>
      </c>
      <c r="L97" s="3" t="s">
        <v>108</v>
      </c>
      <c r="M97" s="3" t="s">
        <v>109</v>
      </c>
      <c r="N97" s="4">
        <v>46055</v>
      </c>
      <c r="O97" s="3" t="s">
        <v>110</v>
      </c>
      <c r="P97" s="3" t="s">
        <v>46</v>
      </c>
      <c r="Q97" s="3" t="s">
        <v>47</v>
      </c>
    </row>
    <row r="98" spans="1:17" x14ac:dyDescent="0.35">
      <c r="A98" s="2" t="s">
        <v>606</v>
      </c>
      <c r="B98" s="2">
        <v>2702231861</v>
      </c>
      <c r="C98" s="2" t="s">
        <v>607</v>
      </c>
      <c r="D98" s="2" t="s">
        <v>608</v>
      </c>
      <c r="E98" s="2" t="s">
        <v>609</v>
      </c>
      <c r="F98" s="2" t="s">
        <v>37</v>
      </c>
      <c r="G98" s="26" t="s">
        <v>150</v>
      </c>
      <c r="H98" s="26" t="s">
        <v>6</v>
      </c>
      <c r="I98" s="2" t="s">
        <v>605</v>
      </c>
      <c r="J98" s="2" t="s">
        <v>40</v>
      </c>
      <c r="K98" s="6" t="s">
        <v>610</v>
      </c>
      <c r="L98" s="6" t="s">
        <v>589</v>
      </c>
      <c r="M98" s="6" t="s">
        <v>43</v>
      </c>
      <c r="N98" s="25">
        <v>46055</v>
      </c>
      <c r="O98" s="6" t="s">
        <v>45</v>
      </c>
      <c r="P98" s="6" t="s">
        <v>83</v>
      </c>
      <c r="Q98" s="6" t="s">
        <v>47</v>
      </c>
    </row>
    <row r="99" spans="1:17" x14ac:dyDescent="0.35">
      <c r="A99" s="2" t="s">
        <v>611</v>
      </c>
      <c r="B99" s="2">
        <v>2702280421</v>
      </c>
      <c r="C99" s="2" t="s">
        <v>612</v>
      </c>
      <c r="D99" s="2" t="s">
        <v>613</v>
      </c>
      <c r="E99" s="2" t="s">
        <v>614</v>
      </c>
      <c r="F99" s="2" t="s">
        <v>257</v>
      </c>
      <c r="G99" s="29" t="s">
        <v>432</v>
      </c>
      <c r="H99" s="29" t="s">
        <v>1</v>
      </c>
      <c r="I99" s="2" t="s">
        <v>615</v>
      </c>
      <c r="J99" s="2" t="s">
        <v>40</v>
      </c>
      <c r="K99" s="2" t="s">
        <v>260</v>
      </c>
      <c r="L99" s="2" t="s">
        <v>260</v>
      </c>
      <c r="M99" s="2" t="s">
        <v>260</v>
      </c>
      <c r="N99" s="2" t="s">
        <v>260</v>
      </c>
      <c r="O99" s="2" t="s">
        <v>260</v>
      </c>
      <c r="P99" s="2" t="s">
        <v>260</v>
      </c>
      <c r="Q99" s="2" t="s">
        <v>72</v>
      </c>
    </row>
    <row r="100" spans="1:17" x14ac:dyDescent="0.35">
      <c r="A100" s="2" t="s">
        <v>616</v>
      </c>
      <c r="B100" s="2">
        <v>2702300234</v>
      </c>
      <c r="C100" s="2" t="s">
        <v>617</v>
      </c>
      <c r="D100" s="2" t="s">
        <v>618</v>
      </c>
      <c r="E100" s="2" t="s">
        <v>619</v>
      </c>
      <c r="F100" s="2" t="s">
        <v>37</v>
      </c>
      <c r="G100" s="26" t="s">
        <v>105</v>
      </c>
      <c r="H100" s="26" t="s">
        <v>4</v>
      </c>
      <c r="I100" s="2" t="s">
        <v>615</v>
      </c>
      <c r="J100" s="2" t="s">
        <v>54</v>
      </c>
      <c r="K100" s="3" t="s">
        <v>107</v>
      </c>
      <c r="L100" s="3" t="s">
        <v>108</v>
      </c>
      <c r="M100" s="3" t="s">
        <v>109</v>
      </c>
      <c r="N100" s="4">
        <v>46055</v>
      </c>
      <c r="O100" s="3" t="s">
        <v>110</v>
      </c>
      <c r="P100" s="3" t="s">
        <v>46</v>
      </c>
      <c r="Q100" s="3" t="s">
        <v>72</v>
      </c>
    </row>
    <row r="101" spans="1:17" x14ac:dyDescent="0.35">
      <c r="A101" s="7" t="s">
        <v>620</v>
      </c>
      <c r="B101" s="7">
        <v>2702343776</v>
      </c>
      <c r="C101" s="7" t="s">
        <v>621</v>
      </c>
      <c r="D101" s="7" t="s">
        <v>622</v>
      </c>
      <c r="E101" s="7" t="s">
        <v>623</v>
      </c>
      <c r="F101" s="7" t="s">
        <v>37</v>
      </c>
      <c r="G101" s="7" t="s">
        <v>214</v>
      </c>
      <c r="H101" s="2" t="s">
        <v>0</v>
      </c>
      <c r="I101" s="7" t="s">
        <v>615</v>
      </c>
      <c r="J101" s="7" t="s">
        <v>54</v>
      </c>
      <c r="K101" s="13" t="s">
        <v>107</v>
      </c>
      <c r="L101" s="13" t="s">
        <v>108</v>
      </c>
      <c r="M101" s="13" t="s">
        <v>109</v>
      </c>
      <c r="N101" s="17">
        <v>46055</v>
      </c>
      <c r="O101" s="13" t="s">
        <v>110</v>
      </c>
      <c r="P101" s="13" t="s">
        <v>46</v>
      </c>
      <c r="Q101" s="13" t="s">
        <v>72</v>
      </c>
    </row>
    <row r="102" spans="1:17" x14ac:dyDescent="0.35">
      <c r="A102" s="7" t="s">
        <v>624</v>
      </c>
      <c r="B102" s="7">
        <v>2702272193</v>
      </c>
      <c r="C102" s="7" t="s">
        <v>625</v>
      </c>
      <c r="D102" s="7" t="s">
        <v>626</v>
      </c>
      <c r="E102" s="7" t="s">
        <v>627</v>
      </c>
      <c r="F102" s="7" t="s">
        <v>257</v>
      </c>
      <c r="G102" s="29" t="s">
        <v>297</v>
      </c>
      <c r="H102" s="29" t="s">
        <v>3</v>
      </c>
      <c r="I102" s="7" t="s">
        <v>628</v>
      </c>
      <c r="J102" s="7" t="s">
        <v>40</v>
      </c>
      <c r="K102" s="7" t="s">
        <v>260</v>
      </c>
      <c r="L102" s="7" t="s">
        <v>260</v>
      </c>
      <c r="M102" s="7" t="s">
        <v>260</v>
      </c>
      <c r="N102" s="7" t="s">
        <v>260</v>
      </c>
      <c r="O102" s="7" t="s">
        <v>260</v>
      </c>
      <c r="P102" s="7" t="s">
        <v>260</v>
      </c>
      <c r="Q102" s="7" t="s">
        <v>72</v>
      </c>
    </row>
    <row r="103" spans="1:17" x14ac:dyDescent="0.35">
      <c r="A103" s="7" t="s">
        <v>629</v>
      </c>
      <c r="B103" s="7">
        <v>2702228141</v>
      </c>
      <c r="C103" s="7" t="s">
        <v>630</v>
      </c>
      <c r="D103" s="7" t="s">
        <v>631</v>
      </c>
      <c r="E103" s="7" t="s">
        <v>632</v>
      </c>
      <c r="F103" s="7" t="s">
        <v>257</v>
      </c>
      <c r="G103" s="26" t="s">
        <v>258</v>
      </c>
      <c r="H103" s="26" t="s">
        <v>10</v>
      </c>
      <c r="I103" s="7" t="s">
        <v>633</v>
      </c>
      <c r="J103" s="7" t="s">
        <v>40</v>
      </c>
      <c r="K103" s="7" t="s">
        <v>260</v>
      </c>
      <c r="L103" s="7" t="s">
        <v>260</v>
      </c>
      <c r="M103" s="7" t="s">
        <v>260</v>
      </c>
      <c r="N103" s="7" t="s">
        <v>260</v>
      </c>
      <c r="O103" s="7" t="s">
        <v>260</v>
      </c>
      <c r="P103" s="7" t="s">
        <v>260</v>
      </c>
      <c r="Q103" s="7" t="s">
        <v>72</v>
      </c>
    </row>
    <row r="104" spans="1:17" x14ac:dyDescent="0.35">
      <c r="A104" s="2" t="s">
        <v>634</v>
      </c>
      <c r="B104" s="2">
        <v>2702231981</v>
      </c>
      <c r="C104" s="2" t="s">
        <v>635</v>
      </c>
      <c r="D104" s="2" t="s">
        <v>636</v>
      </c>
      <c r="E104" s="2" t="s">
        <v>637</v>
      </c>
      <c r="F104" s="2" t="s">
        <v>257</v>
      </c>
      <c r="G104" s="26" t="s">
        <v>432</v>
      </c>
      <c r="H104" s="26" t="s">
        <v>1</v>
      </c>
      <c r="I104" s="2" t="s">
        <v>633</v>
      </c>
      <c r="J104" s="2" t="s">
        <v>54</v>
      </c>
      <c r="K104" s="2" t="s">
        <v>260</v>
      </c>
      <c r="L104" s="2" t="s">
        <v>260</v>
      </c>
      <c r="M104" s="2" t="s">
        <v>260</v>
      </c>
      <c r="N104" s="2" t="s">
        <v>260</v>
      </c>
      <c r="O104" s="2" t="s">
        <v>260</v>
      </c>
      <c r="P104" s="2" t="s">
        <v>260</v>
      </c>
      <c r="Q104" s="2" t="s">
        <v>72</v>
      </c>
    </row>
    <row r="105" spans="1:17" x14ac:dyDescent="0.35">
      <c r="A105" s="2" t="s">
        <v>638</v>
      </c>
      <c r="B105" s="2">
        <v>2702232984</v>
      </c>
      <c r="C105" s="2" t="s">
        <v>639</v>
      </c>
      <c r="D105" s="2" t="s">
        <v>640</v>
      </c>
      <c r="E105" s="2" t="s">
        <v>641</v>
      </c>
      <c r="F105" s="2" t="s">
        <v>37</v>
      </c>
      <c r="G105" s="7" t="s">
        <v>214</v>
      </c>
      <c r="H105" s="2" t="s">
        <v>0</v>
      </c>
      <c r="I105" s="2" t="s">
        <v>633</v>
      </c>
      <c r="J105" s="2" t="s">
        <v>40</v>
      </c>
      <c r="K105" s="3" t="s">
        <v>107</v>
      </c>
      <c r="L105" s="3" t="s">
        <v>108</v>
      </c>
      <c r="M105" s="3" t="s">
        <v>109</v>
      </c>
      <c r="N105" s="4">
        <v>46055</v>
      </c>
      <c r="O105" s="3" t="s">
        <v>110</v>
      </c>
      <c r="P105" s="3" t="s">
        <v>46</v>
      </c>
      <c r="Q105" s="3" t="s">
        <v>47</v>
      </c>
    </row>
    <row r="106" spans="1:17" x14ac:dyDescent="0.35">
      <c r="A106" s="2" t="s">
        <v>642</v>
      </c>
      <c r="B106" s="2">
        <v>2702380891</v>
      </c>
      <c r="C106" s="2" t="s">
        <v>643</v>
      </c>
      <c r="D106" s="2" t="s">
        <v>644</v>
      </c>
      <c r="E106" s="2" t="s">
        <v>645</v>
      </c>
      <c r="F106" s="2" t="s">
        <v>37</v>
      </c>
      <c r="G106" s="26" t="s">
        <v>150</v>
      </c>
      <c r="H106" s="26" t="s">
        <v>6</v>
      </c>
      <c r="I106" s="2" t="s">
        <v>633</v>
      </c>
      <c r="J106" s="2" t="s">
        <v>54</v>
      </c>
      <c r="K106" s="2" t="s">
        <v>646</v>
      </c>
      <c r="L106" s="2" t="s">
        <v>647</v>
      </c>
      <c r="M106" s="2" t="s">
        <v>43</v>
      </c>
      <c r="N106" s="2" t="s">
        <v>648</v>
      </c>
      <c r="O106" s="2" t="s">
        <v>45</v>
      </c>
      <c r="P106" s="2" t="s">
        <v>46</v>
      </c>
      <c r="Q106" s="2" t="s">
        <v>72</v>
      </c>
    </row>
    <row r="107" spans="1:17" x14ac:dyDescent="0.35">
      <c r="A107" s="2" t="s">
        <v>649</v>
      </c>
      <c r="B107" s="2">
        <v>2702321352</v>
      </c>
      <c r="C107" s="2" t="s">
        <v>650</v>
      </c>
      <c r="D107" s="2" t="s">
        <v>651</v>
      </c>
      <c r="E107" s="2" t="s">
        <v>652</v>
      </c>
      <c r="F107" s="2" t="s">
        <v>257</v>
      </c>
      <c r="G107" s="26" t="s">
        <v>258</v>
      </c>
      <c r="H107" s="26" t="s">
        <v>10</v>
      </c>
      <c r="I107" s="2" t="s">
        <v>653</v>
      </c>
      <c r="J107" s="2" t="s">
        <v>54</v>
      </c>
      <c r="K107" s="2" t="s">
        <v>260</v>
      </c>
      <c r="L107" s="2" t="s">
        <v>260</v>
      </c>
      <c r="M107" s="2" t="s">
        <v>260</v>
      </c>
      <c r="N107" s="2" t="s">
        <v>260</v>
      </c>
      <c r="O107" s="2" t="s">
        <v>260</v>
      </c>
      <c r="P107" s="2" t="s">
        <v>260</v>
      </c>
      <c r="Q107" s="2" t="s">
        <v>72</v>
      </c>
    </row>
    <row r="108" spans="1:17" x14ac:dyDescent="0.35">
      <c r="A108" s="2" t="s">
        <v>654</v>
      </c>
      <c r="B108" s="2">
        <v>2702358134</v>
      </c>
      <c r="C108" s="2" t="s">
        <v>655</v>
      </c>
      <c r="D108" s="2" t="s">
        <v>656</v>
      </c>
      <c r="E108" s="2" t="s">
        <v>657</v>
      </c>
      <c r="F108" s="2" t="s">
        <v>37</v>
      </c>
      <c r="G108" s="26" t="s">
        <v>150</v>
      </c>
      <c r="H108" s="26" t="s">
        <v>6</v>
      </c>
      <c r="I108" s="2" t="s">
        <v>653</v>
      </c>
      <c r="J108" s="2" t="s">
        <v>54</v>
      </c>
      <c r="K108" s="3" t="s">
        <v>658</v>
      </c>
      <c r="L108" s="3" t="s">
        <v>304</v>
      </c>
      <c r="M108" s="3" t="s">
        <v>43</v>
      </c>
      <c r="N108" s="4">
        <v>46055</v>
      </c>
      <c r="O108" s="4">
        <v>46420</v>
      </c>
      <c r="P108" s="3" t="s">
        <v>122</v>
      </c>
      <c r="Q108" s="3" t="s">
        <v>47</v>
      </c>
    </row>
    <row r="109" spans="1:17" x14ac:dyDescent="0.35">
      <c r="A109" s="7" t="s">
        <v>659</v>
      </c>
      <c r="B109" s="7">
        <v>2702227864</v>
      </c>
      <c r="C109" s="7" t="s">
        <v>660</v>
      </c>
      <c r="D109" s="7" t="s">
        <v>661</v>
      </c>
      <c r="E109" s="7" t="s">
        <v>662</v>
      </c>
      <c r="F109" s="7" t="s">
        <v>257</v>
      </c>
      <c r="G109" s="26" t="s">
        <v>258</v>
      </c>
      <c r="H109" s="26" t="s">
        <v>10</v>
      </c>
      <c r="I109" s="7" t="s">
        <v>663</v>
      </c>
      <c r="J109" s="7" t="s">
        <v>40</v>
      </c>
      <c r="K109" s="7" t="s">
        <v>260</v>
      </c>
      <c r="L109" s="7" t="s">
        <v>260</v>
      </c>
      <c r="M109" s="7" t="s">
        <v>260</v>
      </c>
      <c r="N109" s="7" t="s">
        <v>260</v>
      </c>
      <c r="O109" s="7" t="s">
        <v>260</v>
      </c>
      <c r="P109" s="7" t="s">
        <v>260</v>
      </c>
      <c r="Q109" s="7" t="s">
        <v>72</v>
      </c>
    </row>
    <row r="110" spans="1:17" x14ac:dyDescent="0.35">
      <c r="A110" s="2" t="s">
        <v>664</v>
      </c>
      <c r="B110" s="2">
        <v>2702358191</v>
      </c>
      <c r="C110" s="2" t="s">
        <v>665</v>
      </c>
      <c r="D110" s="2" t="s">
        <v>666</v>
      </c>
      <c r="E110" s="2" t="s">
        <v>667</v>
      </c>
      <c r="F110" s="2" t="s">
        <v>257</v>
      </c>
      <c r="G110" s="26" t="s">
        <v>258</v>
      </c>
      <c r="H110" s="26" t="s">
        <v>10</v>
      </c>
      <c r="I110" s="2" t="s">
        <v>663</v>
      </c>
      <c r="J110" s="2" t="s">
        <v>54</v>
      </c>
      <c r="K110" s="2" t="s">
        <v>260</v>
      </c>
      <c r="L110" s="2" t="s">
        <v>260</v>
      </c>
      <c r="M110" s="2" t="s">
        <v>260</v>
      </c>
      <c r="N110" s="2" t="s">
        <v>260</v>
      </c>
      <c r="O110" s="2" t="s">
        <v>260</v>
      </c>
      <c r="P110" s="2" t="s">
        <v>260</v>
      </c>
      <c r="Q110" s="2" t="s">
        <v>72</v>
      </c>
    </row>
    <row r="111" spans="1:17" x14ac:dyDescent="0.35">
      <c r="A111" s="7" t="s">
        <v>668</v>
      </c>
      <c r="B111" s="7">
        <v>2702236055</v>
      </c>
      <c r="C111" s="7" t="s">
        <v>669</v>
      </c>
      <c r="D111" s="7" t="s">
        <v>670</v>
      </c>
      <c r="E111" s="7" t="s">
        <v>671</v>
      </c>
      <c r="F111" s="7" t="s">
        <v>257</v>
      </c>
      <c r="G111" s="26" t="s">
        <v>432</v>
      </c>
      <c r="H111" s="26" t="s">
        <v>1</v>
      </c>
      <c r="I111" s="7" t="s">
        <v>672</v>
      </c>
      <c r="J111" s="7" t="s">
        <v>40</v>
      </c>
      <c r="K111" s="7" t="s">
        <v>260</v>
      </c>
      <c r="L111" s="7" t="s">
        <v>260</v>
      </c>
      <c r="M111" s="7" t="s">
        <v>260</v>
      </c>
      <c r="N111" s="7" t="s">
        <v>260</v>
      </c>
      <c r="O111" s="7" t="s">
        <v>260</v>
      </c>
      <c r="P111" s="7" t="s">
        <v>260</v>
      </c>
      <c r="Q111" s="7" t="s">
        <v>47</v>
      </c>
    </row>
    <row r="112" spans="1:17" x14ac:dyDescent="0.35">
      <c r="A112" s="28" t="s">
        <v>673</v>
      </c>
      <c r="B112" s="24">
        <v>2702228886</v>
      </c>
      <c r="C112" s="24" t="s">
        <v>674</v>
      </c>
      <c r="D112" s="24" t="s">
        <v>675</v>
      </c>
      <c r="E112" s="24" t="s">
        <v>676</v>
      </c>
      <c r="F112" s="24" t="s">
        <v>37</v>
      </c>
      <c r="G112" s="26" t="s">
        <v>270</v>
      </c>
      <c r="H112" s="26" t="s">
        <v>5</v>
      </c>
      <c r="I112" s="24" t="s">
        <v>672</v>
      </c>
      <c r="J112" s="24" t="s">
        <v>40</v>
      </c>
      <c r="K112" s="8" t="s">
        <v>677</v>
      </c>
      <c r="L112" s="8" t="s">
        <v>71</v>
      </c>
      <c r="M112" s="8" t="s">
        <v>43</v>
      </c>
      <c r="N112" s="16">
        <v>46055</v>
      </c>
      <c r="O112" s="16">
        <v>46389</v>
      </c>
      <c r="P112" s="8" t="s">
        <v>83</v>
      </c>
      <c r="Q112" s="8" t="s">
        <v>72</v>
      </c>
    </row>
    <row r="113" spans="1:17" x14ac:dyDescent="0.35">
      <c r="A113" s="2" t="s">
        <v>668</v>
      </c>
      <c r="B113" s="2">
        <v>2702233785</v>
      </c>
      <c r="C113" s="2" t="s">
        <v>669</v>
      </c>
      <c r="D113" s="2" t="s">
        <v>670</v>
      </c>
      <c r="E113" s="2" t="s">
        <v>671</v>
      </c>
      <c r="F113" s="2" t="s">
        <v>37</v>
      </c>
      <c r="G113" s="26" t="s">
        <v>38</v>
      </c>
      <c r="H113" s="26" t="s">
        <v>12</v>
      </c>
      <c r="I113" s="2" t="s">
        <v>672</v>
      </c>
      <c r="J113" s="2" t="s">
        <v>40</v>
      </c>
      <c r="K113" s="2" t="s">
        <v>41</v>
      </c>
      <c r="L113" s="2" t="s">
        <v>71</v>
      </c>
      <c r="M113" s="2" t="s">
        <v>43</v>
      </c>
      <c r="N113" s="2" t="s">
        <v>44</v>
      </c>
      <c r="O113" s="2" t="s">
        <v>45</v>
      </c>
      <c r="P113" s="2" t="s">
        <v>46</v>
      </c>
      <c r="Q113" s="2" t="s">
        <v>47</v>
      </c>
    </row>
    <row r="114" spans="1:17" x14ac:dyDescent="0.35">
      <c r="A114" s="7" t="s">
        <v>678</v>
      </c>
      <c r="B114" s="7">
        <v>2702224162</v>
      </c>
      <c r="C114" s="7" t="s">
        <v>679</v>
      </c>
      <c r="D114" s="7" t="s">
        <v>680</v>
      </c>
      <c r="E114" s="7" t="s">
        <v>681</v>
      </c>
      <c r="F114" s="7" t="s">
        <v>257</v>
      </c>
      <c r="G114" s="26" t="s">
        <v>432</v>
      </c>
      <c r="H114" s="26" t="s">
        <v>1</v>
      </c>
      <c r="I114" s="7" t="s">
        <v>682</v>
      </c>
      <c r="J114" s="7" t="s">
        <v>40</v>
      </c>
      <c r="K114" s="7" t="s">
        <v>260</v>
      </c>
      <c r="L114" s="7" t="s">
        <v>260</v>
      </c>
      <c r="M114" s="7" t="s">
        <v>260</v>
      </c>
      <c r="N114" s="7" t="s">
        <v>260</v>
      </c>
      <c r="O114" s="7" t="s">
        <v>260</v>
      </c>
      <c r="P114" s="7" t="s">
        <v>260</v>
      </c>
      <c r="Q114" s="7" t="s">
        <v>72</v>
      </c>
    </row>
    <row r="115" spans="1:17" x14ac:dyDescent="0.35">
      <c r="A115" s="7" t="s">
        <v>683</v>
      </c>
      <c r="B115" s="7">
        <v>2702249316</v>
      </c>
      <c r="C115" s="7" t="s">
        <v>684</v>
      </c>
      <c r="D115" s="7" t="s">
        <v>685</v>
      </c>
      <c r="E115" s="7" t="s">
        <v>686</v>
      </c>
      <c r="F115" s="7" t="s">
        <v>37</v>
      </c>
      <c r="G115" s="26" t="s">
        <v>132</v>
      </c>
      <c r="H115" s="26" t="s">
        <v>9</v>
      </c>
      <c r="I115" s="7" t="s">
        <v>687</v>
      </c>
      <c r="J115" s="7" t="s">
        <v>40</v>
      </c>
      <c r="K115" s="13" t="s">
        <v>688</v>
      </c>
      <c r="L115" s="13" t="s">
        <v>134</v>
      </c>
      <c r="M115" s="13" t="s">
        <v>43</v>
      </c>
      <c r="N115" s="17">
        <v>46055</v>
      </c>
      <c r="O115" s="13" t="s">
        <v>45</v>
      </c>
      <c r="P115" s="13" t="s">
        <v>46</v>
      </c>
      <c r="Q115" s="13" t="s">
        <v>47</v>
      </c>
    </row>
    <row r="116" spans="1:17" x14ac:dyDescent="0.35">
      <c r="A116" s="7" t="s">
        <v>689</v>
      </c>
      <c r="B116" s="7">
        <v>2702265742</v>
      </c>
      <c r="C116" s="7" t="s">
        <v>690</v>
      </c>
      <c r="D116" s="7" t="s">
        <v>691</v>
      </c>
      <c r="E116" s="7" t="s">
        <v>692</v>
      </c>
      <c r="F116" s="7" t="s">
        <v>37</v>
      </c>
      <c r="G116" s="29" t="s">
        <v>150</v>
      </c>
      <c r="H116" s="29" t="s">
        <v>6</v>
      </c>
      <c r="I116" s="7" t="s">
        <v>687</v>
      </c>
      <c r="J116" s="7" t="s">
        <v>54</v>
      </c>
      <c r="K116" s="8" t="s">
        <v>252</v>
      </c>
      <c r="L116" s="8" t="s">
        <v>121</v>
      </c>
      <c r="M116" s="8" t="s">
        <v>43</v>
      </c>
      <c r="N116" s="16">
        <v>46358</v>
      </c>
      <c r="O116" s="16">
        <v>46723</v>
      </c>
      <c r="P116" s="8" t="s">
        <v>46</v>
      </c>
      <c r="Q116" s="8" t="s">
        <v>47</v>
      </c>
    </row>
    <row r="117" spans="1:17" x14ac:dyDescent="0.35">
      <c r="A117" s="2" t="s">
        <v>693</v>
      </c>
      <c r="B117" s="2">
        <v>2702385671</v>
      </c>
      <c r="C117" s="2" t="s">
        <v>694</v>
      </c>
      <c r="D117" s="2" t="s">
        <v>695</v>
      </c>
      <c r="E117" s="2" t="s">
        <v>696</v>
      </c>
      <c r="F117" s="2" t="s">
        <v>37</v>
      </c>
      <c r="G117" s="29" t="s">
        <v>270</v>
      </c>
      <c r="H117" s="29" t="s">
        <v>5</v>
      </c>
      <c r="I117" s="2" t="s">
        <v>697</v>
      </c>
      <c r="J117" s="2" t="s">
        <v>54</v>
      </c>
      <c r="K117" s="3" t="s">
        <v>107</v>
      </c>
      <c r="L117" s="3" t="s">
        <v>108</v>
      </c>
      <c r="M117" s="3" t="s">
        <v>109</v>
      </c>
      <c r="N117" s="4">
        <v>46055</v>
      </c>
      <c r="O117" s="3" t="s">
        <v>110</v>
      </c>
      <c r="P117" s="3" t="s">
        <v>46</v>
      </c>
      <c r="Q117" s="3" t="s">
        <v>47</v>
      </c>
    </row>
    <row r="118" spans="1:17" x14ac:dyDescent="0.35">
      <c r="A118" s="2" t="s">
        <v>698</v>
      </c>
      <c r="B118" s="2">
        <v>2702262394</v>
      </c>
      <c r="C118" s="2" t="s">
        <v>699</v>
      </c>
      <c r="D118" s="2" t="s">
        <v>700</v>
      </c>
      <c r="E118" s="2" t="s">
        <v>701</v>
      </c>
      <c r="F118" s="2" t="s">
        <v>37</v>
      </c>
      <c r="G118" s="29" t="s">
        <v>158</v>
      </c>
      <c r="H118" s="29" t="s">
        <v>11</v>
      </c>
      <c r="I118" s="2" t="s">
        <v>697</v>
      </c>
      <c r="J118" s="2" t="s">
        <v>40</v>
      </c>
      <c r="K118" s="3" t="s">
        <v>107</v>
      </c>
      <c r="L118" s="3" t="s">
        <v>108</v>
      </c>
      <c r="M118" s="3" t="s">
        <v>109</v>
      </c>
      <c r="N118" s="4">
        <v>46055</v>
      </c>
      <c r="O118" s="3" t="s">
        <v>110</v>
      </c>
      <c r="P118" s="3" t="s">
        <v>46</v>
      </c>
      <c r="Q118" s="3" t="s">
        <v>72</v>
      </c>
    </row>
    <row r="119" spans="1:17" x14ac:dyDescent="0.35">
      <c r="A119" s="7" t="s">
        <v>702</v>
      </c>
      <c r="B119" s="7">
        <v>2702232675</v>
      </c>
      <c r="C119" s="7" t="s">
        <v>703</v>
      </c>
      <c r="D119" s="7" t="s">
        <v>704</v>
      </c>
      <c r="E119" s="7" t="s">
        <v>705</v>
      </c>
      <c r="F119" s="7" t="s">
        <v>37</v>
      </c>
      <c r="G119" s="26" t="s">
        <v>132</v>
      </c>
      <c r="H119" s="26" t="s">
        <v>9</v>
      </c>
      <c r="I119" s="7" t="s">
        <v>706</v>
      </c>
      <c r="J119" s="7" t="s">
        <v>40</v>
      </c>
      <c r="K119" s="8" t="s">
        <v>707</v>
      </c>
      <c r="L119" s="8" t="s">
        <v>315</v>
      </c>
      <c r="M119" s="8" t="s">
        <v>43</v>
      </c>
      <c r="N119" s="16">
        <v>46055</v>
      </c>
      <c r="O119" s="8" t="s">
        <v>45</v>
      </c>
      <c r="P119" s="8" t="s">
        <v>46</v>
      </c>
      <c r="Q119" s="8" t="s">
        <v>47</v>
      </c>
    </row>
    <row r="120" spans="1:17" x14ac:dyDescent="0.35">
      <c r="A120" s="2" t="s">
        <v>708</v>
      </c>
      <c r="B120" s="2">
        <v>2702231104</v>
      </c>
      <c r="C120" s="2" t="s">
        <v>709</v>
      </c>
      <c r="D120" s="2" t="s">
        <v>710</v>
      </c>
      <c r="E120" s="2" t="s">
        <v>711</v>
      </c>
      <c r="F120" s="2" t="s">
        <v>257</v>
      </c>
      <c r="G120" s="26" t="s">
        <v>258</v>
      </c>
      <c r="H120" s="26" t="s">
        <v>10</v>
      </c>
      <c r="I120" s="2" t="s">
        <v>712</v>
      </c>
      <c r="J120" s="2" t="s">
        <v>54</v>
      </c>
      <c r="K120" s="12" t="s">
        <v>260</v>
      </c>
      <c r="L120" s="12" t="s">
        <v>260</v>
      </c>
      <c r="M120" s="12" t="s">
        <v>260</v>
      </c>
      <c r="N120" s="12" t="s">
        <v>260</v>
      </c>
      <c r="O120" s="12" t="s">
        <v>260</v>
      </c>
      <c r="P120" s="12" t="s">
        <v>260</v>
      </c>
      <c r="Q120" s="12" t="s">
        <v>72</v>
      </c>
    </row>
    <row r="121" spans="1:17" x14ac:dyDescent="0.35">
      <c r="A121" s="7" t="s">
        <v>713</v>
      </c>
      <c r="B121" s="7">
        <v>2702279956</v>
      </c>
      <c r="C121" s="7" t="s">
        <v>714</v>
      </c>
      <c r="D121" s="7" t="s">
        <v>715</v>
      </c>
      <c r="E121" s="7" t="s">
        <v>716</v>
      </c>
      <c r="F121" s="7" t="s">
        <v>37</v>
      </c>
      <c r="G121" s="26" t="s">
        <v>158</v>
      </c>
      <c r="H121" s="26" t="s">
        <v>11</v>
      </c>
      <c r="I121" s="7" t="s">
        <v>712</v>
      </c>
      <c r="J121" s="7" t="s">
        <v>40</v>
      </c>
      <c r="K121" s="14" t="s">
        <v>107</v>
      </c>
      <c r="L121" s="14" t="s">
        <v>108</v>
      </c>
      <c r="M121" s="14" t="s">
        <v>109</v>
      </c>
      <c r="N121" s="15">
        <v>46055</v>
      </c>
      <c r="O121" s="14" t="s">
        <v>110</v>
      </c>
      <c r="P121" s="14" t="s">
        <v>46</v>
      </c>
      <c r="Q121" s="14" t="s">
        <v>47</v>
      </c>
    </row>
    <row r="122" spans="1:17" x14ac:dyDescent="0.35">
      <c r="A122" s="7" t="s">
        <v>717</v>
      </c>
      <c r="B122" s="7">
        <v>2702282540</v>
      </c>
      <c r="C122" s="7" t="s">
        <v>718</v>
      </c>
      <c r="D122" s="7" t="s">
        <v>719</v>
      </c>
      <c r="E122" s="7" t="s">
        <v>720</v>
      </c>
      <c r="F122" s="7" t="s">
        <v>37</v>
      </c>
      <c r="G122" s="26" t="s">
        <v>270</v>
      </c>
      <c r="H122" s="26" t="s">
        <v>5</v>
      </c>
      <c r="I122" s="7" t="s">
        <v>721</v>
      </c>
      <c r="J122" s="7" t="s">
        <v>40</v>
      </c>
      <c r="K122" s="14" t="s">
        <v>107</v>
      </c>
      <c r="L122" s="14" t="s">
        <v>108</v>
      </c>
      <c r="M122" s="14" t="s">
        <v>109</v>
      </c>
      <c r="N122" s="15">
        <v>46055</v>
      </c>
      <c r="O122" s="14" t="s">
        <v>110</v>
      </c>
      <c r="P122" s="14" t="s">
        <v>46</v>
      </c>
      <c r="Q122" s="14" t="s">
        <v>72</v>
      </c>
    </row>
    <row r="123" spans="1:17" x14ac:dyDescent="0.35">
      <c r="A123" s="7" t="s">
        <v>722</v>
      </c>
      <c r="B123" s="7">
        <v>2702243174</v>
      </c>
      <c r="C123" s="7" t="s">
        <v>723</v>
      </c>
      <c r="D123" s="7" t="s">
        <v>724</v>
      </c>
      <c r="E123" s="7" t="s">
        <v>725</v>
      </c>
      <c r="F123" s="7" t="s">
        <v>37</v>
      </c>
      <c r="G123" s="26" t="s">
        <v>132</v>
      </c>
      <c r="H123" s="26" t="s">
        <v>9</v>
      </c>
      <c r="I123" s="7" t="s">
        <v>721</v>
      </c>
      <c r="J123" s="7" t="s">
        <v>54</v>
      </c>
      <c r="K123" s="14" t="s">
        <v>726</v>
      </c>
      <c r="L123" s="14" t="s">
        <v>56</v>
      </c>
      <c r="M123" s="14" t="s">
        <v>43</v>
      </c>
      <c r="N123" s="15">
        <v>46055</v>
      </c>
      <c r="O123" s="14" t="s">
        <v>45</v>
      </c>
      <c r="P123" s="14" t="s">
        <v>46</v>
      </c>
      <c r="Q123" s="14" t="s">
        <v>47</v>
      </c>
    </row>
    <row r="124" spans="1:17" x14ac:dyDescent="0.35">
      <c r="A124" s="7" t="s">
        <v>727</v>
      </c>
      <c r="B124" s="7">
        <v>2702361545</v>
      </c>
      <c r="C124" s="7" t="s">
        <v>728</v>
      </c>
      <c r="D124" s="7" t="s">
        <v>729</v>
      </c>
      <c r="E124" s="7" t="s">
        <v>730</v>
      </c>
      <c r="F124" s="7" t="s">
        <v>37</v>
      </c>
      <c r="G124" s="26" t="s">
        <v>77</v>
      </c>
      <c r="H124" s="26" t="s">
        <v>13</v>
      </c>
      <c r="I124" s="7" t="s">
        <v>731</v>
      </c>
      <c r="J124" s="7" t="s">
        <v>732</v>
      </c>
      <c r="K124" s="14" t="s">
        <v>733</v>
      </c>
      <c r="L124" s="14" t="s">
        <v>326</v>
      </c>
      <c r="M124" s="14" t="s">
        <v>43</v>
      </c>
      <c r="N124" s="15">
        <v>46055</v>
      </c>
      <c r="O124" s="14" t="s">
        <v>45</v>
      </c>
      <c r="P124" s="14" t="s">
        <v>46</v>
      </c>
      <c r="Q124" s="14" t="s">
        <v>72</v>
      </c>
    </row>
    <row r="125" spans="1:17" x14ac:dyDescent="0.35">
      <c r="A125" s="7" t="s">
        <v>734</v>
      </c>
      <c r="B125" s="7">
        <v>2702233532</v>
      </c>
      <c r="C125" s="7" t="s">
        <v>735</v>
      </c>
      <c r="D125" s="7" t="s">
        <v>736</v>
      </c>
      <c r="E125" s="7" t="s">
        <v>737</v>
      </c>
      <c r="F125" s="7" t="s">
        <v>61</v>
      </c>
      <c r="G125" s="26" t="s">
        <v>62</v>
      </c>
      <c r="H125" s="26" t="s">
        <v>8</v>
      </c>
      <c r="I125" s="7" t="s">
        <v>738</v>
      </c>
      <c r="J125" s="7" t="s">
        <v>40</v>
      </c>
      <c r="K125" s="14" t="s">
        <v>64</v>
      </c>
      <c r="L125" s="14" t="s">
        <v>400</v>
      </c>
      <c r="M125" s="14" t="s">
        <v>109</v>
      </c>
      <c r="N125" s="15">
        <v>46055</v>
      </c>
      <c r="O125" s="15">
        <v>46061</v>
      </c>
      <c r="P125" s="14" t="s">
        <v>66</v>
      </c>
      <c r="Q125" s="14" t="s">
        <v>47</v>
      </c>
    </row>
    <row r="126" spans="1:17" x14ac:dyDescent="0.35">
      <c r="A126" s="2" t="s">
        <v>739</v>
      </c>
      <c r="B126" s="2">
        <v>2702236111</v>
      </c>
      <c r="C126" s="2" t="s">
        <v>740</v>
      </c>
      <c r="D126" s="2" t="s">
        <v>741</v>
      </c>
      <c r="E126" s="2" t="s">
        <v>742</v>
      </c>
      <c r="F126" s="2" t="s">
        <v>37</v>
      </c>
      <c r="G126" s="26" t="s">
        <v>132</v>
      </c>
      <c r="H126" s="26" t="s">
        <v>9</v>
      </c>
      <c r="I126" s="2" t="s">
        <v>738</v>
      </c>
      <c r="J126" s="2" t="s">
        <v>40</v>
      </c>
      <c r="K126" s="6" t="s">
        <v>743</v>
      </c>
      <c r="L126" s="6" t="s">
        <v>200</v>
      </c>
      <c r="M126" s="6" t="s">
        <v>43</v>
      </c>
      <c r="N126" s="25">
        <v>46055</v>
      </c>
      <c r="O126" s="6" t="s">
        <v>45</v>
      </c>
      <c r="P126" s="6" t="s">
        <v>83</v>
      </c>
      <c r="Q126" s="6" t="s">
        <v>47</v>
      </c>
    </row>
    <row r="127" spans="1:17" x14ac:dyDescent="0.35">
      <c r="A127" s="7" t="s">
        <v>744</v>
      </c>
      <c r="B127" s="7">
        <v>2602208750</v>
      </c>
      <c r="C127" s="7" t="s">
        <v>745</v>
      </c>
      <c r="D127" s="7" t="s">
        <v>746</v>
      </c>
      <c r="E127" s="7" t="s">
        <v>747</v>
      </c>
      <c r="F127" s="7" t="s">
        <v>37</v>
      </c>
      <c r="G127" s="26" t="s">
        <v>132</v>
      </c>
      <c r="H127" s="26" t="s">
        <v>9</v>
      </c>
      <c r="I127" s="7" t="s">
        <v>738</v>
      </c>
      <c r="J127" s="7" t="s">
        <v>40</v>
      </c>
      <c r="K127" s="13" t="s">
        <v>748</v>
      </c>
      <c r="L127" s="13" t="s">
        <v>121</v>
      </c>
      <c r="M127" s="13" t="s">
        <v>43</v>
      </c>
      <c r="N127" s="17">
        <v>46358</v>
      </c>
      <c r="O127" s="17">
        <v>46723</v>
      </c>
      <c r="P127" s="13" t="s">
        <v>83</v>
      </c>
      <c r="Q127" s="13" t="s">
        <v>72</v>
      </c>
    </row>
    <row r="128" spans="1:17" x14ac:dyDescent="0.35">
      <c r="A128" s="2" t="s">
        <v>749</v>
      </c>
      <c r="B128" s="2">
        <v>2702361961</v>
      </c>
      <c r="C128" s="2" t="s">
        <v>750</v>
      </c>
      <c r="D128" s="2" t="s">
        <v>751</v>
      </c>
      <c r="E128" s="2" t="s">
        <v>752</v>
      </c>
      <c r="F128" s="2" t="s">
        <v>257</v>
      </c>
      <c r="G128" s="26" t="s">
        <v>258</v>
      </c>
      <c r="H128" s="26" t="s">
        <v>10</v>
      </c>
      <c r="I128" s="2" t="s">
        <v>753</v>
      </c>
      <c r="J128" s="2" t="s">
        <v>54</v>
      </c>
      <c r="K128" s="2" t="s">
        <v>260</v>
      </c>
      <c r="L128" s="2" t="s">
        <v>260</v>
      </c>
      <c r="M128" s="2" t="s">
        <v>260</v>
      </c>
      <c r="N128" s="2" t="s">
        <v>260</v>
      </c>
      <c r="O128" s="2" t="s">
        <v>260</v>
      </c>
      <c r="P128" s="2" t="s">
        <v>260</v>
      </c>
      <c r="Q128" s="2" t="s">
        <v>72</v>
      </c>
    </row>
    <row r="129" spans="1:17" x14ac:dyDescent="0.35">
      <c r="A129" s="2" t="s">
        <v>754</v>
      </c>
      <c r="B129" s="2">
        <v>2702235046</v>
      </c>
      <c r="C129" s="2" t="s">
        <v>755</v>
      </c>
      <c r="D129" s="2" t="s">
        <v>756</v>
      </c>
      <c r="E129" s="2" t="s">
        <v>757</v>
      </c>
      <c r="F129" s="2" t="s">
        <v>257</v>
      </c>
      <c r="G129" s="26" t="s">
        <v>297</v>
      </c>
      <c r="H129" s="26" t="s">
        <v>3</v>
      </c>
      <c r="I129" s="2" t="s">
        <v>753</v>
      </c>
      <c r="J129" s="2" t="s">
        <v>54</v>
      </c>
      <c r="K129" s="2" t="s">
        <v>260</v>
      </c>
      <c r="L129" s="2" t="s">
        <v>260</v>
      </c>
      <c r="M129" s="2" t="s">
        <v>260</v>
      </c>
      <c r="N129" s="2" t="s">
        <v>260</v>
      </c>
      <c r="O129" s="2" t="s">
        <v>260</v>
      </c>
      <c r="P129" s="2" t="s">
        <v>260</v>
      </c>
      <c r="Q129" s="2" t="s">
        <v>72</v>
      </c>
    </row>
    <row r="130" spans="1:17" x14ac:dyDescent="0.35">
      <c r="A130" s="7" t="s">
        <v>758</v>
      </c>
      <c r="B130" s="7">
        <v>2702379145</v>
      </c>
      <c r="C130" s="7" t="s">
        <v>759</v>
      </c>
      <c r="D130" s="7" t="s">
        <v>760</v>
      </c>
      <c r="E130" s="7" t="s">
        <v>761</v>
      </c>
      <c r="F130" s="7" t="s">
        <v>257</v>
      </c>
      <c r="G130" s="26" t="s">
        <v>297</v>
      </c>
      <c r="H130" s="26" t="s">
        <v>3</v>
      </c>
      <c r="I130" s="7" t="s">
        <v>762</v>
      </c>
      <c r="J130" s="7" t="s">
        <v>54</v>
      </c>
      <c r="K130" s="7" t="s">
        <v>260</v>
      </c>
      <c r="L130" s="7" t="s">
        <v>260</v>
      </c>
      <c r="M130" s="7" t="s">
        <v>260</v>
      </c>
      <c r="N130" s="7" t="s">
        <v>260</v>
      </c>
      <c r="O130" s="7" t="s">
        <v>260</v>
      </c>
      <c r="P130" s="7" t="s">
        <v>260</v>
      </c>
      <c r="Q130" s="7" t="s">
        <v>72</v>
      </c>
    </row>
    <row r="131" spans="1:17" x14ac:dyDescent="0.35">
      <c r="A131" s="2" t="s">
        <v>763</v>
      </c>
      <c r="B131" s="2">
        <v>2702324253</v>
      </c>
      <c r="C131" s="2" t="s">
        <v>764</v>
      </c>
      <c r="D131" s="2" t="s">
        <v>765</v>
      </c>
      <c r="E131" s="2" t="s">
        <v>766</v>
      </c>
      <c r="F131" s="2" t="s">
        <v>257</v>
      </c>
      <c r="G131" s="26" t="s">
        <v>258</v>
      </c>
      <c r="H131" s="26" t="s">
        <v>10</v>
      </c>
      <c r="I131" s="2" t="s">
        <v>767</v>
      </c>
      <c r="J131" s="2" t="s">
        <v>54</v>
      </c>
      <c r="K131" s="3" t="s">
        <v>768</v>
      </c>
      <c r="L131" s="3" t="s">
        <v>769</v>
      </c>
      <c r="M131" s="3" t="s">
        <v>770</v>
      </c>
      <c r="N131" s="4">
        <v>46025</v>
      </c>
      <c r="O131" s="3" t="s">
        <v>110</v>
      </c>
      <c r="P131" s="5" t="s">
        <v>260</v>
      </c>
      <c r="Q131" s="3" t="s">
        <v>47</v>
      </c>
    </row>
    <row r="132" spans="1:17" x14ac:dyDescent="0.35">
      <c r="A132" s="7" t="s">
        <v>771</v>
      </c>
      <c r="B132" s="7">
        <v>2702267174</v>
      </c>
      <c r="C132" s="7" t="s">
        <v>772</v>
      </c>
      <c r="D132" s="7" t="s">
        <v>773</v>
      </c>
      <c r="E132" s="7" t="s">
        <v>774</v>
      </c>
      <c r="F132" s="7" t="s">
        <v>37</v>
      </c>
      <c r="G132" s="26" t="s">
        <v>132</v>
      </c>
      <c r="H132" s="26" t="s">
        <v>9</v>
      </c>
      <c r="I132" s="7" t="s">
        <v>775</v>
      </c>
      <c r="J132" s="7" t="s">
        <v>40</v>
      </c>
      <c r="K132" s="8" t="s">
        <v>776</v>
      </c>
      <c r="L132" s="8" t="s">
        <v>121</v>
      </c>
      <c r="M132" s="8" t="s">
        <v>43</v>
      </c>
      <c r="N132" s="16">
        <v>46297</v>
      </c>
      <c r="O132" s="16">
        <v>46662</v>
      </c>
      <c r="P132" s="8" t="s">
        <v>46</v>
      </c>
      <c r="Q132" s="8" t="s">
        <v>72</v>
      </c>
    </row>
    <row r="133" spans="1:17" x14ac:dyDescent="0.35">
      <c r="A133" s="7" t="s">
        <v>777</v>
      </c>
      <c r="B133" s="7">
        <v>2702304592</v>
      </c>
      <c r="C133" s="7" t="s">
        <v>778</v>
      </c>
      <c r="D133" s="7" t="s">
        <v>779</v>
      </c>
      <c r="E133" s="7" t="s">
        <v>780</v>
      </c>
      <c r="F133" s="7" t="s">
        <v>257</v>
      </c>
      <c r="G133" s="29" t="s">
        <v>258</v>
      </c>
      <c r="H133" s="29" t="s">
        <v>10</v>
      </c>
      <c r="I133" s="7" t="s">
        <v>781</v>
      </c>
      <c r="J133" s="7" t="s">
        <v>54</v>
      </c>
      <c r="K133" s="7" t="s">
        <v>260</v>
      </c>
      <c r="L133" s="7" t="s">
        <v>260</v>
      </c>
      <c r="M133" s="7" t="s">
        <v>260</v>
      </c>
      <c r="N133" s="7" t="s">
        <v>260</v>
      </c>
      <c r="O133" s="7" t="s">
        <v>260</v>
      </c>
      <c r="P133" s="7" t="s">
        <v>260</v>
      </c>
      <c r="Q133" s="7" t="s">
        <v>72</v>
      </c>
    </row>
    <row r="134" spans="1:17" x14ac:dyDescent="0.35">
      <c r="A134" s="7" t="s">
        <v>782</v>
      </c>
      <c r="B134" s="7">
        <v>2702309403</v>
      </c>
      <c r="C134" s="7" t="s">
        <v>783</v>
      </c>
      <c r="D134" s="7" t="s">
        <v>784</v>
      </c>
      <c r="E134" s="7" t="s">
        <v>785</v>
      </c>
      <c r="F134" s="7" t="s">
        <v>37</v>
      </c>
      <c r="G134" s="29" t="s">
        <v>105</v>
      </c>
      <c r="H134" s="29" t="s">
        <v>4</v>
      </c>
      <c r="I134" s="7" t="s">
        <v>781</v>
      </c>
      <c r="J134" s="7" t="s">
        <v>40</v>
      </c>
      <c r="K134" s="13" t="s">
        <v>107</v>
      </c>
      <c r="L134" s="13" t="s">
        <v>108</v>
      </c>
      <c r="M134" s="13" t="s">
        <v>109</v>
      </c>
      <c r="N134" s="17">
        <v>46055</v>
      </c>
      <c r="O134" s="13" t="s">
        <v>110</v>
      </c>
      <c r="P134" s="13" t="s">
        <v>46</v>
      </c>
      <c r="Q134" s="13" t="s">
        <v>47</v>
      </c>
    </row>
    <row r="135" spans="1:17" x14ac:dyDescent="0.35">
      <c r="A135" s="2" t="s">
        <v>786</v>
      </c>
      <c r="B135" s="2">
        <v>2702260155</v>
      </c>
      <c r="C135" s="2" t="s">
        <v>787</v>
      </c>
      <c r="D135" s="2" t="s">
        <v>788</v>
      </c>
      <c r="E135" s="2" t="s">
        <v>789</v>
      </c>
      <c r="F135" s="2" t="s">
        <v>257</v>
      </c>
      <c r="G135" s="26" t="s">
        <v>297</v>
      </c>
      <c r="H135" s="26" t="s">
        <v>3</v>
      </c>
      <c r="I135" s="2" t="s">
        <v>790</v>
      </c>
      <c r="J135" s="2" t="s">
        <v>406</v>
      </c>
      <c r="K135" s="2" t="s">
        <v>260</v>
      </c>
      <c r="L135" s="2" t="s">
        <v>260</v>
      </c>
      <c r="M135" s="2" t="s">
        <v>260</v>
      </c>
      <c r="N135" s="2" t="s">
        <v>260</v>
      </c>
      <c r="O135" s="2" t="s">
        <v>260</v>
      </c>
      <c r="P135" s="2" t="s">
        <v>260</v>
      </c>
      <c r="Q135" s="2" t="s">
        <v>72</v>
      </c>
    </row>
    <row r="136" spans="1:17" x14ac:dyDescent="0.35">
      <c r="A136" s="2" t="s">
        <v>791</v>
      </c>
      <c r="B136" s="2">
        <v>2702409854</v>
      </c>
      <c r="C136" s="2" t="s">
        <v>792</v>
      </c>
      <c r="D136" s="2" t="s">
        <v>793</v>
      </c>
      <c r="E136" s="2" t="s">
        <v>794</v>
      </c>
      <c r="F136" s="2" t="s">
        <v>37</v>
      </c>
      <c r="G136" s="29" t="s">
        <v>150</v>
      </c>
      <c r="H136" s="29" t="s">
        <v>6</v>
      </c>
      <c r="I136" s="2" t="s">
        <v>795</v>
      </c>
      <c r="J136" s="2" t="s">
        <v>406</v>
      </c>
      <c r="K136" s="3" t="s">
        <v>796</v>
      </c>
      <c r="L136" s="3" t="s">
        <v>326</v>
      </c>
      <c r="M136" s="3" t="s">
        <v>43</v>
      </c>
      <c r="N136" s="4">
        <v>46267</v>
      </c>
      <c r="O136" s="4">
        <v>46601</v>
      </c>
      <c r="P136" s="3" t="s">
        <v>46</v>
      </c>
      <c r="Q136" s="3" t="s">
        <v>72</v>
      </c>
    </row>
    <row r="137" spans="1:17" x14ac:dyDescent="0.35">
      <c r="A137" s="2" t="s">
        <v>797</v>
      </c>
      <c r="B137" s="2">
        <v>2702309441</v>
      </c>
      <c r="C137" s="2" t="s">
        <v>798</v>
      </c>
      <c r="D137" s="2" t="s">
        <v>799</v>
      </c>
      <c r="E137" s="2" t="s">
        <v>800</v>
      </c>
      <c r="F137" s="2" t="s">
        <v>61</v>
      </c>
      <c r="G137" s="26" t="s">
        <v>62</v>
      </c>
      <c r="H137" s="26" t="s">
        <v>8</v>
      </c>
      <c r="I137" s="2" t="s">
        <v>801</v>
      </c>
      <c r="J137" s="2" t="s">
        <v>40</v>
      </c>
      <c r="K137" s="3" t="s">
        <v>64</v>
      </c>
      <c r="L137" s="3" t="s">
        <v>65</v>
      </c>
      <c r="M137" s="3" t="s">
        <v>109</v>
      </c>
      <c r="N137" s="4">
        <v>46055</v>
      </c>
      <c r="O137" s="4">
        <v>46061</v>
      </c>
      <c r="P137" s="3" t="s">
        <v>66</v>
      </c>
      <c r="Q137" s="3" t="s">
        <v>47</v>
      </c>
    </row>
    <row r="138" spans="1:17" x14ac:dyDescent="0.35">
      <c r="A138" s="7" t="s">
        <v>802</v>
      </c>
      <c r="B138" s="7">
        <v>2702262444</v>
      </c>
      <c r="C138" s="7" t="s">
        <v>803</v>
      </c>
      <c r="D138" s="7" t="s">
        <v>804</v>
      </c>
      <c r="E138" s="7" t="s">
        <v>805</v>
      </c>
      <c r="F138" s="7" t="s">
        <v>37</v>
      </c>
      <c r="G138" s="26" t="s">
        <v>173</v>
      </c>
      <c r="H138" s="26" t="s">
        <v>7</v>
      </c>
      <c r="I138" s="7" t="s">
        <v>801</v>
      </c>
      <c r="J138" s="7" t="s">
        <v>732</v>
      </c>
      <c r="K138" s="13" t="s">
        <v>806</v>
      </c>
      <c r="L138" s="13" t="s">
        <v>108</v>
      </c>
      <c r="M138" s="13" t="s">
        <v>43</v>
      </c>
      <c r="N138" s="17">
        <v>46055</v>
      </c>
      <c r="O138" s="13" t="s">
        <v>240</v>
      </c>
      <c r="P138" s="13" t="s">
        <v>46</v>
      </c>
      <c r="Q138" s="13" t="s">
        <v>47</v>
      </c>
    </row>
    <row r="139" spans="1:17" x14ac:dyDescent="0.35">
      <c r="A139" s="2" t="s">
        <v>807</v>
      </c>
      <c r="B139" s="2">
        <v>2702362024</v>
      </c>
      <c r="C139" s="2" t="s">
        <v>808</v>
      </c>
      <c r="D139" s="2" t="s">
        <v>809</v>
      </c>
      <c r="E139" s="2" t="s">
        <v>810</v>
      </c>
      <c r="F139" s="2" t="s">
        <v>257</v>
      </c>
      <c r="G139" s="26" t="s">
        <v>432</v>
      </c>
      <c r="H139" s="26" t="s">
        <v>1</v>
      </c>
      <c r="I139" s="2" t="s">
        <v>811</v>
      </c>
      <c r="J139" s="2" t="s">
        <v>40</v>
      </c>
      <c r="K139" s="12" t="s">
        <v>260</v>
      </c>
      <c r="L139" s="12" t="s">
        <v>260</v>
      </c>
      <c r="M139" s="12" t="s">
        <v>260</v>
      </c>
      <c r="N139" s="12" t="s">
        <v>260</v>
      </c>
      <c r="O139" s="12" t="s">
        <v>260</v>
      </c>
      <c r="P139" s="12" t="s">
        <v>260</v>
      </c>
      <c r="Q139" s="12" t="s">
        <v>72</v>
      </c>
    </row>
    <row r="140" spans="1:17" x14ac:dyDescent="0.35">
      <c r="A140" s="2" t="s">
        <v>812</v>
      </c>
      <c r="B140" s="2">
        <v>2702227984</v>
      </c>
      <c r="C140" s="2" t="s">
        <v>813</v>
      </c>
      <c r="D140" s="2" t="s">
        <v>814</v>
      </c>
      <c r="E140" s="2" t="s">
        <v>815</v>
      </c>
      <c r="F140" s="2" t="s">
        <v>61</v>
      </c>
      <c r="G140" s="26" t="s">
        <v>62</v>
      </c>
      <c r="H140" s="26" t="s">
        <v>8</v>
      </c>
      <c r="I140" s="2" t="s">
        <v>811</v>
      </c>
      <c r="J140" s="2" t="s">
        <v>54</v>
      </c>
      <c r="K140" s="19" t="s">
        <v>64</v>
      </c>
      <c r="L140" s="19" t="s">
        <v>65</v>
      </c>
      <c r="M140" s="19" t="s">
        <v>43</v>
      </c>
      <c r="N140" s="20">
        <v>46055</v>
      </c>
      <c r="O140" s="20">
        <v>46420</v>
      </c>
      <c r="P140" s="19" t="s">
        <v>66</v>
      </c>
      <c r="Q140" s="19" t="s">
        <v>47</v>
      </c>
    </row>
    <row r="141" spans="1:17" x14ac:dyDescent="0.35">
      <c r="A141" s="7" t="s">
        <v>816</v>
      </c>
      <c r="B141" s="7">
        <v>2702275604</v>
      </c>
      <c r="C141" s="7" t="s">
        <v>817</v>
      </c>
      <c r="D141" s="7" t="s">
        <v>818</v>
      </c>
      <c r="E141" s="7" t="s">
        <v>819</v>
      </c>
      <c r="F141" s="7" t="s">
        <v>257</v>
      </c>
      <c r="G141" s="26" t="s">
        <v>105</v>
      </c>
      <c r="H141" s="26" t="s">
        <v>4</v>
      </c>
      <c r="I141" s="7" t="s">
        <v>820</v>
      </c>
      <c r="J141" s="7" t="s">
        <v>54</v>
      </c>
      <c r="K141" s="11" t="s">
        <v>260</v>
      </c>
      <c r="L141" s="11" t="s">
        <v>260</v>
      </c>
      <c r="M141" s="11" t="s">
        <v>260</v>
      </c>
      <c r="N141" s="11" t="s">
        <v>260</v>
      </c>
      <c r="O141" s="11" t="s">
        <v>260</v>
      </c>
      <c r="P141" s="11" t="s">
        <v>260</v>
      </c>
      <c r="Q141" s="11" t="s">
        <v>72</v>
      </c>
    </row>
    <row r="142" spans="1:17" x14ac:dyDescent="0.35">
      <c r="A142" s="7" t="s">
        <v>821</v>
      </c>
      <c r="B142" s="7">
        <v>2702262431</v>
      </c>
      <c r="C142" s="7" t="s">
        <v>822</v>
      </c>
      <c r="D142" s="7" t="s">
        <v>823</v>
      </c>
      <c r="E142" s="7" t="s">
        <v>824</v>
      </c>
      <c r="F142" s="7" t="s">
        <v>257</v>
      </c>
      <c r="G142" s="26" t="s">
        <v>432</v>
      </c>
      <c r="H142" s="26" t="s">
        <v>1</v>
      </c>
      <c r="I142" s="7" t="s">
        <v>825</v>
      </c>
      <c r="J142" s="7" t="s">
        <v>406</v>
      </c>
      <c r="K142" s="11" t="s">
        <v>260</v>
      </c>
      <c r="L142" s="11" t="s">
        <v>260</v>
      </c>
      <c r="M142" s="11" t="s">
        <v>260</v>
      </c>
      <c r="N142" s="11" t="s">
        <v>260</v>
      </c>
      <c r="O142" s="11" t="s">
        <v>260</v>
      </c>
      <c r="P142" s="11" t="s">
        <v>260</v>
      </c>
      <c r="Q142" s="11" t="s">
        <v>72</v>
      </c>
    </row>
    <row r="143" spans="1:17" x14ac:dyDescent="0.35">
      <c r="A143" s="7" t="s">
        <v>826</v>
      </c>
      <c r="B143" s="7">
        <v>2702224175</v>
      </c>
      <c r="C143" s="7" t="s">
        <v>827</v>
      </c>
      <c r="D143" s="7" t="s">
        <v>828</v>
      </c>
      <c r="E143" s="7" t="s">
        <v>829</v>
      </c>
      <c r="F143" s="7" t="s">
        <v>257</v>
      </c>
      <c r="G143" s="26" t="s">
        <v>297</v>
      </c>
      <c r="H143" s="26" t="s">
        <v>3</v>
      </c>
      <c r="I143" s="7" t="s">
        <v>825</v>
      </c>
      <c r="J143" s="7" t="s">
        <v>406</v>
      </c>
      <c r="K143" s="11" t="s">
        <v>260</v>
      </c>
      <c r="L143" s="11" t="s">
        <v>260</v>
      </c>
      <c r="M143" s="11" t="s">
        <v>260</v>
      </c>
      <c r="N143" s="11" t="s">
        <v>260</v>
      </c>
      <c r="O143" s="11" t="s">
        <v>260</v>
      </c>
      <c r="P143" s="11" t="s">
        <v>260</v>
      </c>
      <c r="Q143" s="11" t="s">
        <v>72</v>
      </c>
    </row>
    <row r="144" spans="1:17" x14ac:dyDescent="0.35">
      <c r="A144" s="7" t="s">
        <v>830</v>
      </c>
      <c r="B144" s="7">
        <v>2702275371</v>
      </c>
      <c r="C144" s="7" t="s">
        <v>831</v>
      </c>
      <c r="D144" s="7" t="s">
        <v>832</v>
      </c>
      <c r="E144" s="7" t="s">
        <v>833</v>
      </c>
      <c r="F144" s="7" t="s">
        <v>411</v>
      </c>
      <c r="G144" s="24"/>
      <c r="H144" s="24"/>
      <c r="I144" s="7" t="s">
        <v>825</v>
      </c>
      <c r="J144" s="7" t="s">
        <v>54</v>
      </c>
      <c r="K144" s="11" t="s">
        <v>834</v>
      </c>
      <c r="L144" s="11" t="s">
        <v>414</v>
      </c>
      <c r="M144" s="11" t="s">
        <v>260</v>
      </c>
      <c r="N144" s="11" t="s">
        <v>415</v>
      </c>
      <c r="O144" s="11" t="s">
        <v>416</v>
      </c>
      <c r="P144" s="11" t="s">
        <v>260</v>
      </c>
      <c r="Q144" s="11" t="s">
        <v>72</v>
      </c>
    </row>
    <row r="145" spans="1:17" x14ac:dyDescent="0.35">
      <c r="A145" s="2" t="s">
        <v>835</v>
      </c>
      <c r="B145" s="2">
        <v>2702272281</v>
      </c>
      <c r="C145" s="2" t="s">
        <v>836</v>
      </c>
      <c r="D145" s="2" t="s">
        <v>837</v>
      </c>
      <c r="E145" s="2" t="s">
        <v>838</v>
      </c>
      <c r="F145" s="2" t="s">
        <v>37</v>
      </c>
      <c r="G145" s="26" t="s">
        <v>270</v>
      </c>
      <c r="H145" s="26" t="s">
        <v>5</v>
      </c>
      <c r="I145" s="2" t="s">
        <v>839</v>
      </c>
      <c r="J145" s="2" t="s">
        <v>40</v>
      </c>
      <c r="K145" s="19" t="s">
        <v>840</v>
      </c>
      <c r="L145" s="19" t="s">
        <v>121</v>
      </c>
      <c r="M145" s="19" t="s">
        <v>43</v>
      </c>
      <c r="N145" s="20">
        <v>46055</v>
      </c>
      <c r="O145" s="19" t="s">
        <v>45</v>
      </c>
      <c r="P145" s="19" t="s">
        <v>46</v>
      </c>
      <c r="Q145" s="19" t="s">
        <v>47</v>
      </c>
    </row>
    <row r="146" spans="1:17" x14ac:dyDescent="0.35">
      <c r="A146" s="7" t="s">
        <v>841</v>
      </c>
      <c r="B146" s="7">
        <v>2702320305</v>
      </c>
      <c r="C146" s="7" t="s">
        <v>842</v>
      </c>
      <c r="D146" s="7" t="s">
        <v>843</v>
      </c>
      <c r="E146" s="7" t="s">
        <v>844</v>
      </c>
      <c r="F146" s="7" t="s">
        <v>61</v>
      </c>
      <c r="G146" s="26" t="s">
        <v>62</v>
      </c>
      <c r="H146" s="26" t="s">
        <v>8</v>
      </c>
      <c r="I146" s="7" t="s">
        <v>839</v>
      </c>
      <c r="J146" s="7" t="s">
        <v>40</v>
      </c>
      <c r="K146" s="14" t="s">
        <v>64</v>
      </c>
      <c r="L146" s="14" t="s">
        <v>65</v>
      </c>
      <c r="M146" s="14" t="s">
        <v>109</v>
      </c>
      <c r="N146" s="15">
        <v>46055</v>
      </c>
      <c r="O146" s="15">
        <v>46061</v>
      </c>
      <c r="P146" s="14" t="s">
        <v>66</v>
      </c>
      <c r="Q146" s="14" t="s">
        <v>47</v>
      </c>
    </row>
    <row r="147" spans="1:17" x14ac:dyDescent="0.35">
      <c r="A147" s="7" t="s">
        <v>845</v>
      </c>
      <c r="B147" s="7">
        <v>2702239725</v>
      </c>
      <c r="C147" s="7" t="s">
        <v>846</v>
      </c>
      <c r="D147" s="7" t="s">
        <v>847</v>
      </c>
      <c r="E147" s="7" t="s">
        <v>848</v>
      </c>
      <c r="F147" s="7" t="s">
        <v>37</v>
      </c>
      <c r="G147" s="26" t="s">
        <v>270</v>
      </c>
      <c r="H147" s="26" t="s">
        <v>5</v>
      </c>
      <c r="I147" s="7" t="s">
        <v>839</v>
      </c>
      <c r="J147" s="7" t="s">
        <v>40</v>
      </c>
      <c r="K147" s="13" t="s">
        <v>849</v>
      </c>
      <c r="L147" s="13" t="s">
        <v>326</v>
      </c>
      <c r="M147" s="13" t="s">
        <v>43</v>
      </c>
      <c r="N147" s="17">
        <v>46055</v>
      </c>
      <c r="O147" s="17">
        <v>46420</v>
      </c>
      <c r="P147" s="13" t="s">
        <v>46</v>
      </c>
      <c r="Q147" s="13" t="s">
        <v>47</v>
      </c>
    </row>
    <row r="148" spans="1:17" x14ac:dyDescent="0.35">
      <c r="A148" s="7" t="s">
        <v>850</v>
      </c>
      <c r="B148" s="7">
        <v>2702345011</v>
      </c>
      <c r="C148" s="7" t="s">
        <v>851</v>
      </c>
      <c r="D148" s="7" t="s">
        <v>852</v>
      </c>
      <c r="E148" s="7" t="s">
        <v>853</v>
      </c>
      <c r="F148" s="7" t="s">
        <v>257</v>
      </c>
      <c r="G148" s="26" t="s">
        <v>258</v>
      </c>
      <c r="H148" s="26" t="s">
        <v>10</v>
      </c>
      <c r="I148" s="7" t="s">
        <v>854</v>
      </c>
      <c r="J148" s="7" t="s">
        <v>855</v>
      </c>
      <c r="K148" s="7" t="s">
        <v>260</v>
      </c>
      <c r="L148" s="7" t="s">
        <v>260</v>
      </c>
      <c r="M148" s="7" t="s">
        <v>260</v>
      </c>
      <c r="N148" s="7" t="s">
        <v>260</v>
      </c>
      <c r="O148" s="7" t="s">
        <v>260</v>
      </c>
      <c r="P148" s="7" t="s">
        <v>260</v>
      </c>
      <c r="Q148" s="7" t="s">
        <v>72</v>
      </c>
    </row>
    <row r="149" spans="1:17" x14ac:dyDescent="0.35">
      <c r="A149" s="2" t="s">
        <v>856</v>
      </c>
      <c r="B149" s="2">
        <v>2702231893</v>
      </c>
      <c r="C149" s="2" t="s">
        <v>857</v>
      </c>
      <c r="D149" s="2" t="s">
        <v>858</v>
      </c>
      <c r="E149" s="2" t="s">
        <v>859</v>
      </c>
      <c r="F149" s="2" t="s">
        <v>37</v>
      </c>
      <c r="G149" s="24" t="s">
        <v>214</v>
      </c>
      <c r="H149" s="23" t="s">
        <v>0</v>
      </c>
      <c r="I149" s="2" t="s">
        <v>860</v>
      </c>
      <c r="J149" s="2" t="s">
        <v>54</v>
      </c>
      <c r="K149" s="3" t="s">
        <v>107</v>
      </c>
      <c r="L149" s="3" t="s">
        <v>108</v>
      </c>
      <c r="M149" s="3" t="s">
        <v>109</v>
      </c>
      <c r="N149" s="4">
        <v>46055</v>
      </c>
      <c r="O149" s="3" t="s">
        <v>110</v>
      </c>
      <c r="P149" s="3" t="s">
        <v>46</v>
      </c>
      <c r="Q149" s="3" t="s">
        <v>72</v>
      </c>
    </row>
    <row r="150" spans="1:17" x14ac:dyDescent="0.35">
      <c r="A150" s="7" t="s">
        <v>861</v>
      </c>
      <c r="B150" s="7">
        <v>2702228021</v>
      </c>
      <c r="C150" s="7" t="s">
        <v>862</v>
      </c>
      <c r="D150" s="7" t="s">
        <v>863</v>
      </c>
      <c r="E150" s="7" t="s">
        <v>864</v>
      </c>
      <c r="F150" s="7" t="s">
        <v>257</v>
      </c>
      <c r="G150" s="26" t="s">
        <v>258</v>
      </c>
      <c r="H150" s="26" t="s">
        <v>10</v>
      </c>
      <c r="I150" s="7" t="s">
        <v>865</v>
      </c>
      <c r="J150" s="7" t="s">
        <v>54</v>
      </c>
      <c r="K150" s="7" t="s">
        <v>260</v>
      </c>
      <c r="L150" s="7" t="s">
        <v>260</v>
      </c>
      <c r="M150" s="7" t="s">
        <v>260</v>
      </c>
      <c r="N150" s="7" t="s">
        <v>260</v>
      </c>
      <c r="O150" s="7" t="s">
        <v>260</v>
      </c>
      <c r="P150" s="7" t="s">
        <v>260</v>
      </c>
      <c r="Q150" s="7" t="s">
        <v>72</v>
      </c>
    </row>
    <row r="151" spans="1:17" x14ac:dyDescent="0.35">
      <c r="A151" s="7" t="s">
        <v>866</v>
      </c>
      <c r="B151" s="7">
        <v>2702271915</v>
      </c>
      <c r="C151" s="7" t="s">
        <v>867</v>
      </c>
      <c r="D151" s="7" t="s">
        <v>868</v>
      </c>
      <c r="E151" s="7" t="s">
        <v>869</v>
      </c>
      <c r="F151" s="7" t="s">
        <v>37</v>
      </c>
      <c r="G151" s="26" t="s">
        <v>132</v>
      </c>
      <c r="H151" s="26" t="s">
        <v>9</v>
      </c>
      <c r="I151" s="7" t="s">
        <v>865</v>
      </c>
      <c r="J151" s="7" t="s">
        <v>732</v>
      </c>
      <c r="K151" s="9" t="s">
        <v>133</v>
      </c>
      <c r="L151" s="9" t="s">
        <v>134</v>
      </c>
      <c r="M151" s="9" t="s">
        <v>43</v>
      </c>
      <c r="N151" s="10">
        <v>46055</v>
      </c>
      <c r="O151" s="9" t="s">
        <v>45</v>
      </c>
      <c r="P151" s="9" t="s">
        <v>46</v>
      </c>
      <c r="Q151" s="9" t="s">
        <v>72</v>
      </c>
    </row>
    <row r="152" spans="1:17" x14ac:dyDescent="0.35">
      <c r="A152" s="2" t="s">
        <v>870</v>
      </c>
      <c r="B152" s="2">
        <v>2702262620</v>
      </c>
      <c r="C152" s="2" t="s">
        <v>871</v>
      </c>
      <c r="D152" s="2" t="s">
        <v>872</v>
      </c>
      <c r="E152" s="2" t="s">
        <v>873</v>
      </c>
      <c r="F152" s="2" t="s">
        <v>874</v>
      </c>
      <c r="G152" s="26" t="s">
        <v>158</v>
      </c>
      <c r="H152" s="26" t="s">
        <v>11</v>
      </c>
      <c r="I152" s="2" t="s">
        <v>875</v>
      </c>
      <c r="J152" s="2" t="s">
        <v>40</v>
      </c>
      <c r="K152" s="19" t="s">
        <v>876</v>
      </c>
      <c r="L152" s="19" t="s">
        <v>326</v>
      </c>
      <c r="M152" s="19" t="s">
        <v>109</v>
      </c>
      <c r="N152" s="20">
        <v>46055</v>
      </c>
      <c r="O152" s="20">
        <v>46061</v>
      </c>
      <c r="P152" s="19" t="s">
        <v>877</v>
      </c>
      <c r="Q152" s="19" t="s">
        <v>72</v>
      </c>
    </row>
    <row r="153" spans="1:17" x14ac:dyDescent="0.35">
      <c r="A153" s="7" t="s">
        <v>878</v>
      </c>
      <c r="B153" s="7">
        <v>2702379473</v>
      </c>
      <c r="C153" s="7" t="s">
        <v>879</v>
      </c>
      <c r="D153" s="7" t="s">
        <v>880</v>
      </c>
      <c r="E153" s="7" t="s">
        <v>881</v>
      </c>
      <c r="F153" s="7" t="s">
        <v>257</v>
      </c>
      <c r="G153" s="26" t="s">
        <v>432</v>
      </c>
      <c r="H153" s="26" t="s">
        <v>1</v>
      </c>
      <c r="I153" s="7" t="s">
        <v>882</v>
      </c>
      <c r="J153" s="7" t="s">
        <v>54</v>
      </c>
      <c r="K153" s="11" t="s">
        <v>260</v>
      </c>
      <c r="L153" s="11" t="s">
        <v>260</v>
      </c>
      <c r="M153" s="11" t="s">
        <v>260</v>
      </c>
      <c r="N153" s="11" t="s">
        <v>260</v>
      </c>
      <c r="O153" s="11" t="s">
        <v>260</v>
      </c>
      <c r="P153" s="11" t="s">
        <v>260</v>
      </c>
      <c r="Q153" s="11" t="s">
        <v>72</v>
      </c>
    </row>
    <row r="154" spans="1:17" x14ac:dyDescent="0.35">
      <c r="A154" s="7" t="s">
        <v>883</v>
      </c>
      <c r="B154" s="7">
        <v>2702283171</v>
      </c>
      <c r="C154" s="7" t="s">
        <v>884</v>
      </c>
      <c r="D154" s="7" t="s">
        <v>885</v>
      </c>
      <c r="E154" s="7" t="s">
        <v>886</v>
      </c>
      <c r="F154" s="7" t="s">
        <v>257</v>
      </c>
      <c r="G154" s="26" t="s">
        <v>105</v>
      </c>
      <c r="H154" s="26" t="s">
        <v>4</v>
      </c>
      <c r="I154" s="7" t="s">
        <v>882</v>
      </c>
      <c r="J154" s="7" t="s">
        <v>887</v>
      </c>
      <c r="K154" s="7" t="s">
        <v>260</v>
      </c>
      <c r="L154" s="7" t="s">
        <v>260</v>
      </c>
      <c r="M154" s="7" t="s">
        <v>260</v>
      </c>
      <c r="N154" s="7" t="s">
        <v>260</v>
      </c>
      <c r="O154" s="7" t="s">
        <v>260</v>
      </c>
      <c r="P154" s="7" t="s">
        <v>260</v>
      </c>
      <c r="Q154" s="7" t="s">
        <v>72</v>
      </c>
    </row>
    <row r="155" spans="1:17" x14ac:dyDescent="0.35">
      <c r="A155" s="2" t="s">
        <v>888</v>
      </c>
      <c r="B155" s="2">
        <v>2702262816</v>
      </c>
      <c r="C155" s="2" t="s">
        <v>889</v>
      </c>
      <c r="D155" s="2" t="s">
        <v>890</v>
      </c>
      <c r="E155" s="2" t="s">
        <v>891</v>
      </c>
      <c r="F155" s="2" t="s">
        <v>37</v>
      </c>
      <c r="G155" s="26" t="s">
        <v>158</v>
      </c>
      <c r="H155" s="26" t="s">
        <v>11</v>
      </c>
      <c r="I155" s="2" t="s">
        <v>892</v>
      </c>
      <c r="J155" s="2" t="s">
        <v>54</v>
      </c>
      <c r="K155" s="3" t="s">
        <v>107</v>
      </c>
      <c r="L155" s="3" t="s">
        <v>108</v>
      </c>
      <c r="M155" s="3" t="s">
        <v>109</v>
      </c>
      <c r="N155" s="4">
        <v>46055</v>
      </c>
      <c r="O155" s="3" t="s">
        <v>110</v>
      </c>
      <c r="P155" s="3" t="s">
        <v>46</v>
      </c>
      <c r="Q155" s="3" t="s">
        <v>72</v>
      </c>
    </row>
    <row r="156" spans="1:17" x14ac:dyDescent="0.35">
      <c r="A156" s="2" t="s">
        <v>893</v>
      </c>
      <c r="B156" s="2">
        <v>2502006133</v>
      </c>
      <c r="C156" s="2" t="s">
        <v>894</v>
      </c>
      <c r="D156" s="2" t="s">
        <v>895</v>
      </c>
      <c r="E156" s="2" t="s">
        <v>896</v>
      </c>
      <c r="F156" s="2" t="s">
        <v>37</v>
      </c>
      <c r="G156" s="26" t="s">
        <v>52</v>
      </c>
      <c r="H156" s="26" t="s">
        <v>2</v>
      </c>
      <c r="I156" s="2" t="s">
        <v>897</v>
      </c>
      <c r="J156" s="2" t="s">
        <v>898</v>
      </c>
      <c r="K156" s="3" t="s">
        <v>107</v>
      </c>
      <c r="L156" s="3" t="s">
        <v>108</v>
      </c>
      <c r="M156" s="3" t="s">
        <v>109</v>
      </c>
      <c r="N156" s="4">
        <v>46055</v>
      </c>
      <c r="O156" s="3" t="s">
        <v>110</v>
      </c>
      <c r="P156" s="3" t="s">
        <v>46</v>
      </c>
      <c r="Q156" s="3" t="s">
        <v>47</v>
      </c>
    </row>
    <row r="157" spans="1:17" x14ac:dyDescent="0.35">
      <c r="A157" s="7" t="s">
        <v>899</v>
      </c>
      <c r="B157" s="7">
        <v>2602207483</v>
      </c>
      <c r="C157" s="7" t="s">
        <v>900</v>
      </c>
      <c r="D157" s="7" t="s">
        <v>901</v>
      </c>
      <c r="E157" s="7" t="s">
        <v>902</v>
      </c>
      <c r="F157" s="7" t="s">
        <v>37</v>
      </c>
      <c r="G157" s="24" t="s">
        <v>214</v>
      </c>
      <c r="H157" s="23" t="s">
        <v>0</v>
      </c>
      <c r="I157" s="7" t="s">
        <v>903</v>
      </c>
      <c r="J157" s="7" t="s">
        <v>904</v>
      </c>
      <c r="K157" s="13" t="s">
        <v>107</v>
      </c>
      <c r="L157" s="13" t="s">
        <v>108</v>
      </c>
      <c r="M157" s="13" t="s">
        <v>109</v>
      </c>
      <c r="N157" s="17">
        <v>46055</v>
      </c>
      <c r="O157" s="13" t="s">
        <v>110</v>
      </c>
      <c r="P157" s="13" t="s">
        <v>46</v>
      </c>
      <c r="Q157" s="13" t="s">
        <v>72</v>
      </c>
    </row>
    <row r="158" spans="1:17" x14ac:dyDescent="0.35">
      <c r="A158" s="7" t="s">
        <v>905</v>
      </c>
      <c r="B158" s="7">
        <v>2702280301</v>
      </c>
      <c r="C158" s="7" t="s">
        <v>906</v>
      </c>
      <c r="D158" s="7" t="s">
        <v>907</v>
      </c>
      <c r="E158" s="7" t="s">
        <v>908</v>
      </c>
      <c r="F158" s="7" t="s">
        <v>257</v>
      </c>
      <c r="G158" s="26" t="s">
        <v>432</v>
      </c>
      <c r="H158" s="26" t="s">
        <v>1</v>
      </c>
      <c r="I158" s="7" t="s">
        <v>909</v>
      </c>
      <c r="J158" s="7" t="s">
        <v>406</v>
      </c>
      <c r="K158" s="7" t="s">
        <v>260</v>
      </c>
      <c r="L158" s="7" t="s">
        <v>260</v>
      </c>
      <c r="M158" s="7" t="s">
        <v>260</v>
      </c>
      <c r="N158" s="7" t="s">
        <v>260</v>
      </c>
      <c r="O158" s="7" t="s">
        <v>260</v>
      </c>
      <c r="P158" s="7" t="s">
        <v>260</v>
      </c>
      <c r="Q158" s="8" t="s">
        <v>72</v>
      </c>
    </row>
    <row r="159" spans="1:17" x14ac:dyDescent="0.35">
      <c r="A159" s="7" t="s">
        <v>910</v>
      </c>
      <c r="B159" s="7">
        <v>2702249272</v>
      </c>
      <c r="C159" s="7" t="s">
        <v>911</v>
      </c>
      <c r="D159" s="7" t="s">
        <v>912</v>
      </c>
      <c r="E159" s="7" t="s">
        <v>913</v>
      </c>
      <c r="F159" s="7" t="s">
        <v>37</v>
      </c>
      <c r="G159" s="26" t="s">
        <v>77</v>
      </c>
      <c r="H159" s="26" t="s">
        <v>13</v>
      </c>
      <c r="I159" s="7" t="s">
        <v>914</v>
      </c>
      <c r="J159" s="7" t="s">
        <v>915</v>
      </c>
      <c r="K159" s="13" t="s">
        <v>107</v>
      </c>
      <c r="L159" s="13" t="s">
        <v>108</v>
      </c>
      <c r="M159" s="13" t="s">
        <v>109</v>
      </c>
      <c r="N159" s="17">
        <v>46055</v>
      </c>
      <c r="O159" s="13" t="s">
        <v>110</v>
      </c>
      <c r="P159" s="13" t="s">
        <v>46</v>
      </c>
      <c r="Q159" s="13" t="s">
        <v>72</v>
      </c>
    </row>
    <row r="160" spans="1:17" x14ac:dyDescent="0.35">
      <c r="A160" s="7" t="s">
        <v>916</v>
      </c>
      <c r="B160" s="7">
        <v>2702282370</v>
      </c>
      <c r="C160" s="7" t="s">
        <v>917</v>
      </c>
      <c r="D160" s="7" t="s">
        <v>918</v>
      </c>
      <c r="E160" s="7" t="s">
        <v>919</v>
      </c>
      <c r="F160" s="7" t="s">
        <v>61</v>
      </c>
      <c r="G160" s="26" t="s">
        <v>62</v>
      </c>
      <c r="H160" s="26" t="s">
        <v>8</v>
      </c>
      <c r="I160" s="7" t="s">
        <v>920</v>
      </c>
      <c r="J160" s="7" t="s">
        <v>40</v>
      </c>
      <c r="K160" s="13" t="s">
        <v>64</v>
      </c>
      <c r="L160" s="13" t="s">
        <v>65</v>
      </c>
      <c r="M160" s="13" t="s">
        <v>109</v>
      </c>
      <c r="N160" s="17">
        <v>46055</v>
      </c>
      <c r="O160" s="17">
        <v>46061</v>
      </c>
      <c r="P160" s="13" t="s">
        <v>66</v>
      </c>
      <c r="Q160" s="13" t="s">
        <v>47</v>
      </c>
    </row>
    <row r="161" spans="1:17" x14ac:dyDescent="0.35">
      <c r="A161" s="2" t="s">
        <v>921</v>
      </c>
      <c r="B161" s="2">
        <v>2702362030</v>
      </c>
      <c r="C161" s="2" t="s">
        <v>922</v>
      </c>
      <c r="D161" s="2" t="s">
        <v>923</v>
      </c>
      <c r="E161" s="2" t="s">
        <v>924</v>
      </c>
      <c r="F161" s="2" t="s">
        <v>37</v>
      </c>
      <c r="G161" s="26" t="s">
        <v>158</v>
      </c>
      <c r="H161" s="26" t="s">
        <v>11</v>
      </c>
      <c r="I161" s="2" t="s">
        <v>925</v>
      </c>
      <c r="J161" s="2" t="s">
        <v>732</v>
      </c>
      <c r="K161" s="19" t="s">
        <v>107</v>
      </c>
      <c r="L161" s="19" t="s">
        <v>108</v>
      </c>
      <c r="M161" s="19" t="s">
        <v>109</v>
      </c>
      <c r="N161" s="20">
        <v>46055</v>
      </c>
      <c r="O161" s="19" t="s">
        <v>110</v>
      </c>
      <c r="P161" s="19" t="s">
        <v>46</v>
      </c>
      <c r="Q161" s="19" t="s">
        <v>72</v>
      </c>
    </row>
    <row r="162" spans="1:17" x14ac:dyDescent="0.35">
      <c r="A162" s="7" t="s">
        <v>926</v>
      </c>
      <c r="B162" s="7">
        <v>2702309353</v>
      </c>
      <c r="C162" s="7" t="s">
        <v>927</v>
      </c>
      <c r="D162" s="7" t="s">
        <v>928</v>
      </c>
      <c r="E162" s="7" t="s">
        <v>929</v>
      </c>
      <c r="F162" s="7" t="s">
        <v>37</v>
      </c>
      <c r="G162" s="26" t="s">
        <v>105</v>
      </c>
      <c r="H162" s="26" t="s">
        <v>4</v>
      </c>
      <c r="I162" s="7" t="s">
        <v>930</v>
      </c>
      <c r="J162" s="7" t="s">
        <v>931</v>
      </c>
      <c r="K162" s="8" t="s">
        <v>932</v>
      </c>
      <c r="L162" s="8" t="s">
        <v>384</v>
      </c>
      <c r="M162" s="8" t="s">
        <v>43</v>
      </c>
      <c r="N162" s="16">
        <v>46055</v>
      </c>
      <c r="O162" s="8" t="s">
        <v>45</v>
      </c>
      <c r="P162" s="8" t="s">
        <v>83</v>
      </c>
      <c r="Q162" s="8" t="s">
        <v>47</v>
      </c>
    </row>
    <row r="163" spans="1:17" x14ac:dyDescent="0.35">
      <c r="A163" s="2" t="s">
        <v>933</v>
      </c>
      <c r="B163" s="2">
        <v>2702337350</v>
      </c>
      <c r="C163" s="2" t="s">
        <v>934</v>
      </c>
      <c r="D163" s="2" t="s">
        <v>935</v>
      </c>
      <c r="E163" s="2" t="s">
        <v>936</v>
      </c>
      <c r="F163" s="2" t="s">
        <v>37</v>
      </c>
      <c r="G163" s="26" t="s">
        <v>105</v>
      </c>
      <c r="H163" s="26" t="s">
        <v>4</v>
      </c>
      <c r="I163" s="2" t="s">
        <v>937</v>
      </c>
      <c r="J163" s="2" t="s">
        <v>931</v>
      </c>
      <c r="K163" s="19" t="s">
        <v>107</v>
      </c>
      <c r="L163" s="19" t="s">
        <v>108</v>
      </c>
      <c r="M163" s="19" t="s">
        <v>109</v>
      </c>
      <c r="N163" s="20">
        <v>46055</v>
      </c>
      <c r="O163" s="19" t="s">
        <v>110</v>
      </c>
      <c r="P163" s="19" t="s">
        <v>46</v>
      </c>
      <c r="Q163" s="19" t="s">
        <v>72</v>
      </c>
    </row>
    <row r="164" spans="1:17" x14ac:dyDescent="0.35">
      <c r="A164" s="7" t="s">
        <v>938</v>
      </c>
      <c r="B164" s="7">
        <v>2702358140</v>
      </c>
      <c r="C164" s="7" t="s">
        <v>939</v>
      </c>
      <c r="D164" s="7" t="s">
        <v>940</v>
      </c>
      <c r="E164" s="7" t="s">
        <v>941</v>
      </c>
      <c r="F164" s="7" t="s">
        <v>37</v>
      </c>
      <c r="G164" s="26" t="s">
        <v>150</v>
      </c>
      <c r="H164" s="26" t="s">
        <v>6</v>
      </c>
      <c r="I164" s="7" t="s">
        <v>942</v>
      </c>
      <c r="J164" s="7" t="s">
        <v>406</v>
      </c>
      <c r="K164" s="13" t="s">
        <v>943</v>
      </c>
      <c r="L164" s="13" t="s">
        <v>944</v>
      </c>
      <c r="M164" s="13" t="s">
        <v>109</v>
      </c>
      <c r="N164" s="17">
        <v>46267</v>
      </c>
      <c r="O164" s="13" t="s">
        <v>110</v>
      </c>
      <c r="P164" s="13" t="s">
        <v>46</v>
      </c>
      <c r="Q164" s="13" t="s">
        <v>47</v>
      </c>
    </row>
    <row r="165" spans="1:17" x14ac:dyDescent="0.35">
      <c r="A165" s="2" t="s">
        <v>945</v>
      </c>
      <c r="B165" s="2">
        <v>2702267281</v>
      </c>
      <c r="C165" s="2" t="s">
        <v>946</v>
      </c>
      <c r="D165" s="2" t="s">
        <v>947</v>
      </c>
      <c r="E165" s="2" t="s">
        <v>948</v>
      </c>
      <c r="F165" s="2" t="s">
        <v>37</v>
      </c>
      <c r="G165" s="26" t="s">
        <v>150</v>
      </c>
      <c r="H165" s="26" t="s">
        <v>6</v>
      </c>
      <c r="I165" s="2" t="s">
        <v>949</v>
      </c>
      <c r="J165" s="2" t="s">
        <v>406</v>
      </c>
      <c r="K165" s="19" t="s">
        <v>950</v>
      </c>
      <c r="L165" s="19" t="s">
        <v>326</v>
      </c>
      <c r="M165" s="19" t="s">
        <v>43</v>
      </c>
      <c r="N165" s="20">
        <v>46055</v>
      </c>
      <c r="O165" s="19" t="s">
        <v>45</v>
      </c>
      <c r="P165" s="19" t="s">
        <v>46</v>
      </c>
      <c r="Q165" s="19" t="s">
        <v>47</v>
      </c>
    </row>
    <row r="166" spans="1:17" x14ac:dyDescent="0.35">
      <c r="A166" s="2" t="s">
        <v>951</v>
      </c>
      <c r="B166" s="2">
        <v>2702321365</v>
      </c>
      <c r="C166" s="2" t="s">
        <v>952</v>
      </c>
      <c r="D166" s="2" t="s">
        <v>953</v>
      </c>
      <c r="E166" s="2" t="s">
        <v>954</v>
      </c>
      <c r="F166" s="2" t="s">
        <v>37</v>
      </c>
      <c r="G166" s="26" t="s">
        <v>270</v>
      </c>
      <c r="H166" s="26" t="s">
        <v>5</v>
      </c>
      <c r="I166" s="2" t="s">
        <v>955</v>
      </c>
      <c r="J166" s="2" t="s">
        <v>732</v>
      </c>
      <c r="K166" s="19" t="s">
        <v>107</v>
      </c>
      <c r="L166" s="19" t="s">
        <v>108</v>
      </c>
      <c r="M166" s="19" t="s">
        <v>109</v>
      </c>
      <c r="N166" s="20">
        <v>46055</v>
      </c>
      <c r="O166" s="19" t="s">
        <v>110</v>
      </c>
      <c r="P166" s="19" t="s">
        <v>46</v>
      </c>
      <c r="Q166" s="19" t="s">
        <v>47</v>
      </c>
    </row>
    <row r="167" spans="1:17" x14ac:dyDescent="0.35">
      <c r="A167" s="2" t="s">
        <v>956</v>
      </c>
      <c r="B167" s="2">
        <v>2702301205</v>
      </c>
      <c r="C167" s="2" t="s">
        <v>957</v>
      </c>
      <c r="D167" s="2" t="s">
        <v>958</v>
      </c>
      <c r="E167" s="2" t="s">
        <v>959</v>
      </c>
      <c r="F167" s="2" t="s">
        <v>257</v>
      </c>
      <c r="G167" s="26" t="s">
        <v>432</v>
      </c>
      <c r="H167" s="26" t="s">
        <v>1</v>
      </c>
      <c r="I167" s="2" t="s">
        <v>960</v>
      </c>
      <c r="J167" s="2" t="s">
        <v>887</v>
      </c>
      <c r="K167" s="2" t="s">
        <v>260</v>
      </c>
      <c r="L167" s="2" t="s">
        <v>260</v>
      </c>
      <c r="M167" s="2" t="s">
        <v>260</v>
      </c>
      <c r="N167" s="2" t="s">
        <v>260</v>
      </c>
      <c r="O167" s="2" t="s">
        <v>260</v>
      </c>
      <c r="P167" s="2" t="s">
        <v>260</v>
      </c>
      <c r="Q167" s="2" t="s">
        <v>72</v>
      </c>
    </row>
    <row r="168" spans="1:17" x14ac:dyDescent="0.35">
      <c r="A168" s="7" t="s">
        <v>961</v>
      </c>
      <c r="B168" s="7">
        <v>2702227971</v>
      </c>
      <c r="C168" s="7" t="s">
        <v>962</v>
      </c>
      <c r="D168" s="7" t="s">
        <v>963</v>
      </c>
      <c r="E168" s="7" t="s">
        <v>964</v>
      </c>
      <c r="F168" s="7" t="s">
        <v>37</v>
      </c>
      <c r="G168" s="26" t="s">
        <v>270</v>
      </c>
      <c r="H168" s="26" t="s">
        <v>5</v>
      </c>
      <c r="I168" s="7" t="s">
        <v>965</v>
      </c>
      <c r="J168" s="7" t="s">
        <v>966</v>
      </c>
      <c r="K168" s="13" t="s">
        <v>967</v>
      </c>
      <c r="L168" s="13" t="s">
        <v>222</v>
      </c>
      <c r="M168" s="13" t="s">
        <v>43</v>
      </c>
      <c r="N168" s="17">
        <v>46055</v>
      </c>
      <c r="O168" s="13" t="s">
        <v>45</v>
      </c>
      <c r="P168" s="13" t="s">
        <v>83</v>
      </c>
      <c r="Q168" s="13" t="s">
        <v>47</v>
      </c>
    </row>
    <row r="169" spans="1:17" x14ac:dyDescent="0.35">
      <c r="A169" s="2" t="s">
        <v>968</v>
      </c>
      <c r="B169" s="2">
        <v>2702277042</v>
      </c>
      <c r="C169" s="2" t="s">
        <v>969</v>
      </c>
      <c r="D169" s="2" t="s">
        <v>970</v>
      </c>
      <c r="E169" s="2" t="s">
        <v>971</v>
      </c>
      <c r="F169" s="2" t="s">
        <v>257</v>
      </c>
      <c r="G169" s="26" t="s">
        <v>105</v>
      </c>
      <c r="H169" s="26" t="s">
        <v>4</v>
      </c>
      <c r="I169" s="2" t="s">
        <v>972</v>
      </c>
      <c r="J169" s="2" t="s">
        <v>904</v>
      </c>
      <c r="K169" s="2" t="s">
        <v>260</v>
      </c>
      <c r="L169" s="2" t="s">
        <v>260</v>
      </c>
      <c r="M169" s="2" t="s">
        <v>260</v>
      </c>
      <c r="N169" s="2" t="s">
        <v>260</v>
      </c>
      <c r="O169" s="2" t="s">
        <v>260</v>
      </c>
      <c r="P169" s="2" t="s">
        <v>260</v>
      </c>
      <c r="Q169" s="2" t="s">
        <v>72</v>
      </c>
    </row>
    <row r="170" spans="1:17" x14ac:dyDescent="0.35">
      <c r="A170" s="2" t="s">
        <v>973</v>
      </c>
      <c r="B170" s="2">
        <v>2702228904</v>
      </c>
      <c r="C170" s="2" t="s">
        <v>974</v>
      </c>
      <c r="D170" s="2" t="s">
        <v>975</v>
      </c>
      <c r="E170" s="2" t="s">
        <v>976</v>
      </c>
      <c r="F170" s="2" t="s">
        <v>977</v>
      </c>
      <c r="G170" s="26" t="s">
        <v>173</v>
      </c>
      <c r="H170" s="26" t="s">
        <v>7</v>
      </c>
      <c r="I170" s="2" t="s">
        <v>978</v>
      </c>
      <c r="J170" s="2" t="s">
        <v>406</v>
      </c>
      <c r="K170" s="12" t="s">
        <v>979</v>
      </c>
      <c r="L170" s="12" t="s">
        <v>980</v>
      </c>
      <c r="M170" s="12" t="s">
        <v>260</v>
      </c>
      <c r="N170" s="12" t="s">
        <v>260</v>
      </c>
      <c r="O170" s="12" t="s">
        <v>260</v>
      </c>
      <c r="P170" s="12" t="s">
        <v>260</v>
      </c>
      <c r="Q170" s="12" t="s">
        <v>72</v>
      </c>
    </row>
    <row r="171" spans="1:17" x14ac:dyDescent="0.35">
      <c r="A171" s="8" t="s">
        <v>981</v>
      </c>
      <c r="B171" s="8">
        <v>2602071940</v>
      </c>
      <c r="C171" s="8" t="s">
        <v>982</v>
      </c>
      <c r="D171" s="8" t="s">
        <v>983</v>
      </c>
      <c r="E171" s="8">
        <v>6285101687780</v>
      </c>
      <c r="F171" s="8" t="s">
        <v>984</v>
      </c>
      <c r="G171" s="26" t="s">
        <v>105</v>
      </c>
      <c r="H171" s="26" t="s">
        <v>4</v>
      </c>
      <c r="I171" s="8">
        <v>3.61</v>
      </c>
      <c r="J171" s="8">
        <v>100</v>
      </c>
      <c r="K171" s="18" t="s">
        <v>260</v>
      </c>
      <c r="L171" s="18" t="s">
        <v>260</v>
      </c>
      <c r="M171" s="18" t="s">
        <v>260</v>
      </c>
      <c r="N171" s="18" t="s">
        <v>260</v>
      </c>
      <c r="O171" s="18" t="s">
        <v>260</v>
      </c>
      <c r="P171" s="18" t="s">
        <v>260</v>
      </c>
      <c r="Q171" s="13" t="s">
        <v>72</v>
      </c>
    </row>
    <row r="172" spans="1:17" x14ac:dyDescent="0.35">
      <c r="A172" s="6" t="s">
        <v>985</v>
      </c>
      <c r="B172" s="6">
        <v>2501976485</v>
      </c>
      <c r="C172" s="6" t="s">
        <v>986</v>
      </c>
      <c r="D172" s="34" t="s">
        <v>987</v>
      </c>
      <c r="E172" s="6">
        <v>6285974330005</v>
      </c>
      <c r="F172" s="6" t="s">
        <v>988</v>
      </c>
      <c r="G172" s="30" t="s">
        <v>214</v>
      </c>
      <c r="H172" s="30" t="s">
        <v>0</v>
      </c>
      <c r="I172" s="6">
        <v>2.92</v>
      </c>
      <c r="J172" s="6">
        <v>90</v>
      </c>
      <c r="K172" s="5" t="s">
        <v>260</v>
      </c>
      <c r="L172" s="5" t="s">
        <v>260</v>
      </c>
      <c r="M172" s="5" t="s">
        <v>260</v>
      </c>
      <c r="N172" s="5" t="s">
        <v>260</v>
      </c>
      <c r="O172" s="5" t="s">
        <v>260</v>
      </c>
      <c r="P172" s="5" t="s">
        <v>260</v>
      </c>
      <c r="Q172" s="3" t="s">
        <v>72</v>
      </c>
    </row>
  </sheetData>
  <autoFilter ref="A1:Q172" xr:uid="{3D5D136F-966F-4138-A3DB-E0EBEA94B65E}"/>
  <conditionalFormatting sqref="B112">
    <cfRule type="duplicateValues" dxfId="11" priority="1"/>
  </conditionalFormatting>
  <conditionalFormatting sqref="C1:C172">
    <cfRule type="duplicateValues" dxfId="10" priority="4"/>
  </conditionalFormatting>
  <conditionalFormatting sqref="C2:C39">
    <cfRule type="duplicateValues" dxfId="9" priority="3"/>
  </conditionalFormatting>
  <conditionalFormatting sqref="C113:C172 C40:C111">
    <cfRule type="duplicateValues" dxfId="8" priority="2"/>
  </conditionalFormatting>
  <hyperlinks>
    <hyperlink ref="D172" r:id="rId1" xr:uid="{23BCC2A0-AC31-4361-86AD-3D9FE8BC197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AC6F-7145-4442-AC5B-769F38F148D0}">
  <dimension ref="A1:U172"/>
  <sheetViews>
    <sheetView workbookViewId="0">
      <selection activeCell="B1" sqref="B1"/>
    </sheetView>
  </sheetViews>
  <sheetFormatPr defaultRowHeight="14.5" x14ac:dyDescent="0.35"/>
  <cols>
    <col min="1" max="1" width="10.81640625" bestFit="1" customWidth="1"/>
    <col min="3" max="3" width="10.81640625" bestFit="1" customWidth="1"/>
  </cols>
  <sheetData>
    <row r="1" spans="1:21" x14ac:dyDescent="0.35">
      <c r="A1">
        <v>2702352383</v>
      </c>
      <c r="B1" t="str">
        <f t="shared" ref="B1:B13" si="0">VLOOKUP(A1,$F$1:$K$172,6,FALSE)</f>
        <v>D6670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 x14ac:dyDescent="0.35">
      <c r="A2">
        <v>2702227971</v>
      </c>
      <c r="B2" t="str">
        <f t="shared" si="0"/>
        <v>D6407</v>
      </c>
      <c r="E2" s="7" t="s">
        <v>33</v>
      </c>
      <c r="F2" s="7">
        <v>2702232990</v>
      </c>
      <c r="G2" s="7" t="s">
        <v>34</v>
      </c>
      <c r="H2" s="7" t="s">
        <v>35</v>
      </c>
      <c r="I2" s="7" t="s">
        <v>36</v>
      </c>
      <c r="J2" s="7" t="s">
        <v>37</v>
      </c>
      <c r="K2" s="26" t="s">
        <v>38</v>
      </c>
      <c r="L2" s="26" t="s">
        <v>12</v>
      </c>
      <c r="M2" s="7" t="s">
        <v>39</v>
      </c>
      <c r="N2" s="7" t="s">
        <v>40</v>
      </c>
      <c r="O2" s="7" t="s">
        <v>41</v>
      </c>
      <c r="P2" s="7" t="s">
        <v>42</v>
      </c>
      <c r="Q2" s="7" t="s">
        <v>43</v>
      </c>
      <c r="R2" s="7" t="s">
        <v>44</v>
      </c>
      <c r="S2" s="7" t="s">
        <v>45</v>
      </c>
      <c r="T2" s="7" t="s">
        <v>46</v>
      </c>
      <c r="U2" s="7" t="s">
        <v>47</v>
      </c>
    </row>
    <row r="3" spans="1:21" x14ac:dyDescent="0.35">
      <c r="A3">
        <v>2502006133</v>
      </c>
      <c r="B3" t="str">
        <f t="shared" si="0"/>
        <v>D2211</v>
      </c>
      <c r="E3" s="2" t="s">
        <v>48</v>
      </c>
      <c r="F3" s="2">
        <v>2702227901</v>
      </c>
      <c r="G3" s="2" t="s">
        <v>49</v>
      </c>
      <c r="H3" s="2" t="s">
        <v>50</v>
      </c>
      <c r="I3" s="2" t="s">
        <v>51</v>
      </c>
      <c r="J3" s="2" t="s">
        <v>37</v>
      </c>
      <c r="K3" s="26" t="s">
        <v>52</v>
      </c>
      <c r="L3" s="26" t="s">
        <v>2</v>
      </c>
      <c r="M3" s="2" t="s">
        <v>53</v>
      </c>
      <c r="N3" s="2" t="s">
        <v>54</v>
      </c>
      <c r="O3" s="12" t="s">
        <v>55</v>
      </c>
      <c r="P3" s="12" t="s">
        <v>56</v>
      </c>
      <c r="Q3" s="12" t="s">
        <v>43</v>
      </c>
      <c r="R3" s="12" t="s">
        <v>44</v>
      </c>
      <c r="S3" s="12" t="s">
        <v>45</v>
      </c>
      <c r="T3" s="12" t="s">
        <v>46</v>
      </c>
      <c r="U3" s="12" t="s">
        <v>47</v>
      </c>
    </row>
    <row r="4" spans="1:21" x14ac:dyDescent="0.35">
      <c r="A4">
        <v>2702249272</v>
      </c>
      <c r="B4" t="str">
        <f t="shared" si="0"/>
        <v>D6408</v>
      </c>
      <c r="E4" s="7" t="s">
        <v>57</v>
      </c>
      <c r="F4" s="7">
        <v>2702227933</v>
      </c>
      <c r="G4" s="7" t="s">
        <v>58</v>
      </c>
      <c r="H4" s="7" t="s">
        <v>59</v>
      </c>
      <c r="I4" s="7" t="s">
        <v>60</v>
      </c>
      <c r="J4" s="7" t="s">
        <v>61</v>
      </c>
      <c r="K4" s="29" t="s">
        <v>62</v>
      </c>
      <c r="L4" s="29" t="s">
        <v>8</v>
      </c>
      <c r="M4" s="7" t="s">
        <v>63</v>
      </c>
      <c r="N4" s="7" t="s">
        <v>40</v>
      </c>
      <c r="O4" s="13" t="s">
        <v>64</v>
      </c>
      <c r="P4" s="13" t="s">
        <v>65</v>
      </c>
      <c r="Q4" s="13" t="s">
        <v>43</v>
      </c>
      <c r="R4" s="17">
        <v>46055</v>
      </c>
      <c r="S4" s="17">
        <v>46420</v>
      </c>
      <c r="T4" s="13" t="s">
        <v>66</v>
      </c>
      <c r="U4" s="13" t="s">
        <v>47</v>
      </c>
    </row>
    <row r="5" spans="1:21" x14ac:dyDescent="0.35">
      <c r="A5">
        <v>2702385671</v>
      </c>
      <c r="B5" t="str">
        <f t="shared" si="0"/>
        <v>D6407</v>
      </c>
      <c r="E5" s="2" t="s">
        <v>67</v>
      </c>
      <c r="F5" s="2">
        <v>2702273315</v>
      </c>
      <c r="G5" s="2" t="s">
        <v>68</v>
      </c>
      <c r="H5" s="2" t="s">
        <v>69</v>
      </c>
      <c r="I5" s="2" t="s">
        <v>70</v>
      </c>
      <c r="J5" s="2" t="s">
        <v>37</v>
      </c>
      <c r="K5" s="26" t="s">
        <v>38</v>
      </c>
      <c r="L5" s="26" t="s">
        <v>12</v>
      </c>
      <c r="M5" s="2" t="s">
        <v>63</v>
      </c>
      <c r="N5" s="2" t="s">
        <v>54</v>
      </c>
      <c r="O5" s="2" t="s">
        <v>41</v>
      </c>
      <c r="P5" s="2" t="s">
        <v>71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72</v>
      </c>
    </row>
    <row r="6" spans="1:21" x14ac:dyDescent="0.35">
      <c r="A6">
        <v>2702361961</v>
      </c>
      <c r="B6" t="str">
        <f t="shared" si="0"/>
        <v>D7055</v>
      </c>
      <c r="E6" s="2" t="s">
        <v>73</v>
      </c>
      <c r="F6" s="2">
        <v>2702303330</v>
      </c>
      <c r="G6" s="2" t="s">
        <v>74</v>
      </c>
      <c r="H6" s="2" t="s">
        <v>75</v>
      </c>
      <c r="I6" s="2" t="s">
        <v>76</v>
      </c>
      <c r="J6" s="2" t="s">
        <v>37</v>
      </c>
      <c r="K6" s="29" t="s">
        <v>77</v>
      </c>
      <c r="L6" s="29" t="s">
        <v>13</v>
      </c>
      <c r="M6" s="2" t="s">
        <v>63</v>
      </c>
      <c r="N6" s="2" t="s">
        <v>54</v>
      </c>
      <c r="O6" s="12" t="s">
        <v>78</v>
      </c>
      <c r="P6" s="12" t="s">
        <v>79</v>
      </c>
      <c r="Q6" s="12" t="s">
        <v>80</v>
      </c>
      <c r="R6" s="12" t="s">
        <v>81</v>
      </c>
      <c r="S6" s="12" t="s">
        <v>82</v>
      </c>
      <c r="T6" s="12" t="s">
        <v>83</v>
      </c>
      <c r="U6" s="12" t="s">
        <v>72</v>
      </c>
    </row>
    <row r="7" spans="1:21" x14ac:dyDescent="0.35">
      <c r="A7">
        <v>2702267174</v>
      </c>
      <c r="B7" t="str">
        <f t="shared" si="0"/>
        <v>D6826</v>
      </c>
      <c r="E7" s="7" t="s">
        <v>84</v>
      </c>
      <c r="F7" s="7">
        <v>2702331782</v>
      </c>
      <c r="G7" s="7" t="s">
        <v>85</v>
      </c>
      <c r="H7" s="7" t="s">
        <v>86</v>
      </c>
      <c r="I7" s="7" t="s">
        <v>87</v>
      </c>
      <c r="J7" s="7" t="s">
        <v>37</v>
      </c>
      <c r="K7" s="26" t="s">
        <v>52</v>
      </c>
      <c r="L7" s="26" t="s">
        <v>2</v>
      </c>
      <c r="M7" s="7" t="s">
        <v>88</v>
      </c>
      <c r="N7" s="7" t="s">
        <v>40</v>
      </c>
      <c r="O7" s="11" t="s">
        <v>89</v>
      </c>
      <c r="P7" s="11" t="s">
        <v>71</v>
      </c>
      <c r="Q7" s="11" t="s">
        <v>43</v>
      </c>
      <c r="R7" s="11" t="s">
        <v>44</v>
      </c>
      <c r="S7" s="11" t="s">
        <v>45</v>
      </c>
      <c r="T7" s="11" t="s">
        <v>83</v>
      </c>
      <c r="U7" s="11" t="s">
        <v>72</v>
      </c>
    </row>
    <row r="8" spans="1:21" x14ac:dyDescent="0.35">
      <c r="A8">
        <v>2702250053</v>
      </c>
      <c r="B8" t="str">
        <f t="shared" si="0"/>
        <v>D6532</v>
      </c>
      <c r="E8" s="7" t="s">
        <v>90</v>
      </c>
      <c r="F8" s="7">
        <v>2702227946</v>
      </c>
      <c r="G8" s="7" t="s">
        <v>91</v>
      </c>
      <c r="H8" s="7" t="s">
        <v>92</v>
      </c>
      <c r="I8" s="7" t="s">
        <v>93</v>
      </c>
      <c r="J8" s="7" t="s">
        <v>37</v>
      </c>
      <c r="K8" s="26" t="s">
        <v>52</v>
      </c>
      <c r="L8" s="26" t="s">
        <v>2</v>
      </c>
      <c r="M8" s="7" t="s">
        <v>94</v>
      </c>
      <c r="N8" s="7" t="s">
        <v>54</v>
      </c>
      <c r="O8" s="14" t="s">
        <v>95</v>
      </c>
      <c r="P8" s="14" t="s">
        <v>56</v>
      </c>
      <c r="Q8" s="14" t="s">
        <v>43</v>
      </c>
      <c r="R8" s="15">
        <v>46055</v>
      </c>
      <c r="S8" s="15">
        <v>46420</v>
      </c>
      <c r="T8" s="14" t="s">
        <v>46</v>
      </c>
      <c r="U8" s="14" t="s">
        <v>47</v>
      </c>
    </row>
    <row r="9" spans="1:21" x14ac:dyDescent="0.35">
      <c r="A9">
        <v>2702300234</v>
      </c>
      <c r="B9" t="str">
        <f t="shared" si="0"/>
        <v>D6532</v>
      </c>
      <c r="E9" s="7" t="s">
        <v>96</v>
      </c>
      <c r="F9" s="7">
        <v>2702272382</v>
      </c>
      <c r="G9" s="7" t="s">
        <v>97</v>
      </c>
      <c r="H9" s="7" t="s">
        <v>98</v>
      </c>
      <c r="I9" s="7" t="s">
        <v>99</v>
      </c>
      <c r="J9" s="7" t="s">
        <v>37</v>
      </c>
      <c r="K9" s="26" t="s">
        <v>38</v>
      </c>
      <c r="L9" s="26" t="s">
        <v>12</v>
      </c>
      <c r="M9" s="7" t="s">
        <v>100</v>
      </c>
      <c r="N9" s="7" t="s">
        <v>54</v>
      </c>
      <c r="O9" s="7" t="s">
        <v>41</v>
      </c>
      <c r="P9" s="7" t="s">
        <v>42</v>
      </c>
      <c r="Q9" s="7" t="s">
        <v>43</v>
      </c>
      <c r="R9" s="7" t="s">
        <v>44</v>
      </c>
      <c r="S9" s="7" t="s">
        <v>45</v>
      </c>
      <c r="T9" s="7" t="s">
        <v>46</v>
      </c>
      <c r="U9" s="7" t="s">
        <v>72</v>
      </c>
    </row>
    <row r="10" spans="1:21" x14ac:dyDescent="0.35">
      <c r="A10">
        <v>2702343776</v>
      </c>
      <c r="B10" t="str">
        <f t="shared" si="0"/>
        <v>D6670</v>
      </c>
      <c r="E10" s="2" t="s">
        <v>101</v>
      </c>
      <c r="F10" s="2">
        <v>2702247550</v>
      </c>
      <c r="G10" s="2" t="s">
        <v>102</v>
      </c>
      <c r="H10" s="2" t="s">
        <v>103</v>
      </c>
      <c r="I10" s="2" t="s">
        <v>104</v>
      </c>
      <c r="J10" s="2" t="s">
        <v>37</v>
      </c>
      <c r="K10" s="26" t="s">
        <v>105</v>
      </c>
      <c r="L10" s="26" t="s">
        <v>4</v>
      </c>
      <c r="M10" s="2" t="s">
        <v>106</v>
      </c>
      <c r="N10" s="2" t="s">
        <v>40</v>
      </c>
      <c r="O10" s="3" t="s">
        <v>107</v>
      </c>
      <c r="P10" s="3" t="s">
        <v>108</v>
      </c>
      <c r="Q10" s="3" t="s">
        <v>109</v>
      </c>
      <c r="R10" s="4">
        <v>46055</v>
      </c>
      <c r="S10" s="3" t="s">
        <v>110</v>
      </c>
      <c r="T10" s="3" t="s">
        <v>46</v>
      </c>
      <c r="U10" s="3" t="s">
        <v>47</v>
      </c>
    </row>
    <row r="11" spans="1:21" x14ac:dyDescent="0.35">
      <c r="A11">
        <v>2702337350</v>
      </c>
      <c r="B11" t="str">
        <f t="shared" si="0"/>
        <v>D6532</v>
      </c>
      <c r="E11" s="7" t="s">
        <v>111</v>
      </c>
      <c r="F11" s="7">
        <v>2702355574</v>
      </c>
      <c r="G11" s="7" t="s">
        <v>112</v>
      </c>
      <c r="H11" s="7" t="s">
        <v>113</v>
      </c>
      <c r="I11" s="7" t="s">
        <v>114</v>
      </c>
      <c r="J11" s="7" t="s">
        <v>37</v>
      </c>
      <c r="K11" s="26" t="s">
        <v>77</v>
      </c>
      <c r="L11" s="26" t="s">
        <v>13</v>
      </c>
      <c r="M11" s="7" t="s">
        <v>106</v>
      </c>
      <c r="N11" s="7" t="s">
        <v>54</v>
      </c>
      <c r="O11" s="11" t="s">
        <v>78</v>
      </c>
      <c r="P11" s="11" t="s">
        <v>79</v>
      </c>
      <c r="Q11" s="11" t="s">
        <v>80</v>
      </c>
      <c r="R11" s="11" t="s">
        <v>81</v>
      </c>
      <c r="S11" s="11" t="s">
        <v>82</v>
      </c>
      <c r="T11" s="11" t="s">
        <v>83</v>
      </c>
      <c r="U11" s="11" t="s">
        <v>72</v>
      </c>
    </row>
    <row r="12" spans="1:21" x14ac:dyDescent="0.35">
      <c r="A12">
        <v>2602207483</v>
      </c>
      <c r="B12" t="str">
        <f t="shared" si="0"/>
        <v>D6670</v>
      </c>
      <c r="E12" s="7" t="s">
        <v>115</v>
      </c>
      <c r="F12" s="7">
        <v>2702260086</v>
      </c>
      <c r="G12" s="7" t="s">
        <v>116</v>
      </c>
      <c r="H12" s="7" t="s">
        <v>117</v>
      </c>
      <c r="I12" s="7" t="s">
        <v>118</v>
      </c>
      <c r="J12" s="7" t="s">
        <v>37</v>
      </c>
      <c r="K12" s="26" t="s">
        <v>52</v>
      </c>
      <c r="L12" s="26" t="s">
        <v>2</v>
      </c>
      <c r="M12" s="7" t="s">
        <v>119</v>
      </c>
      <c r="N12" s="7" t="s">
        <v>40</v>
      </c>
      <c r="O12" s="13" t="s">
        <v>120</v>
      </c>
      <c r="P12" s="13" t="s">
        <v>121</v>
      </c>
      <c r="Q12" s="13" t="s">
        <v>43</v>
      </c>
      <c r="R12" s="17">
        <v>46055</v>
      </c>
      <c r="S12" s="17">
        <v>46420</v>
      </c>
      <c r="T12" s="13" t="s">
        <v>122</v>
      </c>
      <c r="U12" s="13" t="s">
        <v>47</v>
      </c>
    </row>
    <row r="13" spans="1:21" x14ac:dyDescent="0.35">
      <c r="A13">
        <v>2702262394</v>
      </c>
      <c r="B13" t="str">
        <f t="shared" si="0"/>
        <v>D6469</v>
      </c>
      <c r="E13" s="7" t="s">
        <v>123</v>
      </c>
      <c r="F13" s="7">
        <v>2702228236</v>
      </c>
      <c r="G13" s="7" t="s">
        <v>124</v>
      </c>
      <c r="H13" s="7" t="s">
        <v>125</v>
      </c>
      <c r="I13" s="7" t="s">
        <v>126</v>
      </c>
      <c r="J13" s="7" t="s">
        <v>37</v>
      </c>
      <c r="K13" s="26" t="s">
        <v>52</v>
      </c>
      <c r="L13" s="26" t="s">
        <v>2</v>
      </c>
      <c r="M13" s="7" t="s">
        <v>119</v>
      </c>
      <c r="N13" s="7" t="s">
        <v>54</v>
      </c>
      <c r="O13" s="14" t="s">
        <v>127</v>
      </c>
      <c r="P13" s="14" t="s">
        <v>121</v>
      </c>
      <c r="Q13" s="14" t="s">
        <v>109</v>
      </c>
      <c r="R13" s="15">
        <v>46055</v>
      </c>
      <c r="S13" s="15">
        <v>46061</v>
      </c>
      <c r="T13" s="14" t="s">
        <v>46</v>
      </c>
      <c r="U13" s="14" t="s">
        <v>47</v>
      </c>
    </row>
    <row r="14" spans="1:21" x14ac:dyDescent="0.35">
      <c r="A14">
        <v>2602079331</v>
      </c>
      <c r="B14" t="str">
        <f>VLOOKUP(Sheet4!A3,$F$1:$K$172,6,FALSE)</f>
        <v>D6836</v>
      </c>
      <c r="E14" s="7" t="s">
        <v>128</v>
      </c>
      <c r="F14" s="7">
        <v>2702261580</v>
      </c>
      <c r="G14" s="7" t="s">
        <v>129</v>
      </c>
      <c r="H14" s="7" t="s">
        <v>130</v>
      </c>
      <c r="I14" s="7" t="s">
        <v>131</v>
      </c>
      <c r="J14" s="7" t="s">
        <v>37</v>
      </c>
      <c r="K14" s="26" t="s">
        <v>132</v>
      </c>
      <c r="L14" s="26" t="s">
        <v>9</v>
      </c>
      <c r="M14" s="7" t="s">
        <v>119</v>
      </c>
      <c r="N14" s="7" t="s">
        <v>40</v>
      </c>
      <c r="O14" s="7" t="s">
        <v>133</v>
      </c>
      <c r="P14" s="7" t="s">
        <v>134</v>
      </c>
      <c r="Q14" s="7" t="s">
        <v>43</v>
      </c>
      <c r="R14" s="7" t="s">
        <v>44</v>
      </c>
      <c r="S14" s="7" t="s">
        <v>45</v>
      </c>
      <c r="T14" s="7" t="s">
        <v>46</v>
      </c>
      <c r="U14" s="7" t="s">
        <v>47</v>
      </c>
    </row>
    <row r="15" spans="1:21" x14ac:dyDescent="0.35">
      <c r="A15">
        <v>2702352414</v>
      </c>
      <c r="B15" t="str">
        <f t="shared" ref="B15:B29" si="1">VLOOKUP(A15,$F$1:$K$172,6,FALSE)</f>
        <v>D1749</v>
      </c>
      <c r="E15" s="7" t="s">
        <v>135</v>
      </c>
      <c r="F15" s="7">
        <v>2702228274</v>
      </c>
      <c r="G15" s="7" t="s">
        <v>136</v>
      </c>
      <c r="H15" s="7" t="s">
        <v>137</v>
      </c>
      <c r="I15" s="7" t="s">
        <v>138</v>
      </c>
      <c r="J15" s="7" t="s">
        <v>37</v>
      </c>
      <c r="K15" s="26" t="s">
        <v>52</v>
      </c>
      <c r="L15" s="26" t="s">
        <v>2</v>
      </c>
      <c r="M15" s="7" t="s">
        <v>139</v>
      </c>
      <c r="N15" s="7" t="s">
        <v>40</v>
      </c>
      <c r="O15" s="11" t="s">
        <v>140</v>
      </c>
      <c r="P15" s="11" t="s">
        <v>71</v>
      </c>
      <c r="Q15" s="11" t="s">
        <v>43</v>
      </c>
      <c r="R15" s="11" t="s">
        <v>44</v>
      </c>
      <c r="S15" s="11" t="s">
        <v>45</v>
      </c>
      <c r="T15" s="11" t="s">
        <v>46</v>
      </c>
      <c r="U15" s="11" t="s">
        <v>47</v>
      </c>
    </row>
    <row r="16" spans="1:21" x14ac:dyDescent="0.35">
      <c r="A16">
        <v>2702309441</v>
      </c>
      <c r="B16" t="str">
        <f t="shared" si="1"/>
        <v>D6184</v>
      </c>
      <c r="E16" s="7" t="s">
        <v>141</v>
      </c>
      <c r="F16" s="7">
        <v>2702232321</v>
      </c>
      <c r="G16" s="7" t="s">
        <v>142</v>
      </c>
      <c r="H16" s="7" t="s">
        <v>143</v>
      </c>
      <c r="I16" s="7" t="s">
        <v>144</v>
      </c>
      <c r="J16" s="7" t="s">
        <v>37</v>
      </c>
      <c r="K16" s="26" t="s">
        <v>77</v>
      </c>
      <c r="L16" s="26" t="s">
        <v>13</v>
      </c>
      <c r="M16" s="7" t="s">
        <v>145</v>
      </c>
      <c r="N16" s="7" t="s">
        <v>54</v>
      </c>
      <c r="O16" s="11" t="s">
        <v>78</v>
      </c>
      <c r="P16" s="11" t="s">
        <v>79</v>
      </c>
      <c r="Q16" s="11" t="s">
        <v>80</v>
      </c>
      <c r="R16" s="11" t="s">
        <v>81</v>
      </c>
      <c r="S16" s="11" t="s">
        <v>82</v>
      </c>
      <c r="T16" s="11" t="s">
        <v>83</v>
      </c>
      <c r="U16" s="11" t="s">
        <v>72</v>
      </c>
    </row>
    <row r="17" spans="1:21" x14ac:dyDescent="0.35">
      <c r="A17">
        <v>2702231893</v>
      </c>
      <c r="B17" t="str">
        <f t="shared" si="1"/>
        <v>D6670</v>
      </c>
      <c r="E17" s="2" t="s">
        <v>146</v>
      </c>
      <c r="F17" s="2">
        <v>2702228223</v>
      </c>
      <c r="G17" s="2" t="s">
        <v>147</v>
      </c>
      <c r="H17" s="2" t="s">
        <v>148</v>
      </c>
      <c r="I17" s="2" t="s">
        <v>149</v>
      </c>
      <c r="J17" s="2" t="s">
        <v>37</v>
      </c>
      <c r="K17" s="26" t="s">
        <v>150</v>
      </c>
      <c r="L17" s="26" t="s">
        <v>6</v>
      </c>
      <c r="M17" s="2" t="s">
        <v>151</v>
      </c>
      <c r="N17" s="2" t="s">
        <v>54</v>
      </c>
      <c r="O17" s="2" t="s">
        <v>152</v>
      </c>
      <c r="P17" s="2" t="s">
        <v>56</v>
      </c>
      <c r="Q17" s="2" t="s">
        <v>43</v>
      </c>
      <c r="R17" s="2" t="s">
        <v>44</v>
      </c>
      <c r="S17" s="2" t="s">
        <v>153</v>
      </c>
      <c r="T17" s="2" t="s">
        <v>122</v>
      </c>
      <c r="U17" s="2" t="s">
        <v>47</v>
      </c>
    </row>
    <row r="18" spans="1:21" x14ac:dyDescent="0.35">
      <c r="A18">
        <v>2702262816</v>
      </c>
      <c r="B18" t="str">
        <f t="shared" si="1"/>
        <v>D6469</v>
      </c>
      <c r="E18" s="2" t="s">
        <v>154</v>
      </c>
      <c r="F18" s="2">
        <v>2702262993</v>
      </c>
      <c r="G18" s="2" t="s">
        <v>155</v>
      </c>
      <c r="H18" s="2" t="s">
        <v>156</v>
      </c>
      <c r="I18" s="2" t="s">
        <v>157</v>
      </c>
      <c r="J18" s="2" t="s">
        <v>37</v>
      </c>
      <c r="K18" s="26" t="s">
        <v>158</v>
      </c>
      <c r="L18" s="26" t="s">
        <v>11</v>
      </c>
      <c r="M18" s="2" t="s">
        <v>159</v>
      </c>
      <c r="N18" s="2" t="s">
        <v>54</v>
      </c>
      <c r="O18" s="3" t="s">
        <v>160</v>
      </c>
      <c r="P18" s="3" t="s">
        <v>161</v>
      </c>
      <c r="Q18" s="3" t="s">
        <v>43</v>
      </c>
      <c r="R18" s="4">
        <v>46055</v>
      </c>
      <c r="S18" s="3" t="s">
        <v>45</v>
      </c>
      <c r="T18" s="3" t="s">
        <v>46</v>
      </c>
      <c r="U18" s="3" t="s">
        <v>47</v>
      </c>
    </row>
    <row r="19" spans="1:21" x14ac:dyDescent="0.35">
      <c r="A19">
        <v>2702361545</v>
      </c>
      <c r="B19" t="str">
        <f t="shared" si="1"/>
        <v>D6408</v>
      </c>
      <c r="E19" s="7" t="s">
        <v>162</v>
      </c>
      <c r="F19" s="7">
        <v>2702327684</v>
      </c>
      <c r="G19" s="7" t="s">
        <v>163</v>
      </c>
      <c r="H19" s="7" t="s">
        <v>164</v>
      </c>
      <c r="I19" s="7" t="s">
        <v>165</v>
      </c>
      <c r="J19" s="7" t="s">
        <v>37</v>
      </c>
      <c r="K19" s="26" t="s">
        <v>158</v>
      </c>
      <c r="L19" s="26" t="s">
        <v>11</v>
      </c>
      <c r="M19" s="7" t="s">
        <v>159</v>
      </c>
      <c r="N19" s="7" t="s">
        <v>54</v>
      </c>
      <c r="O19" s="7" t="s">
        <v>166</v>
      </c>
      <c r="P19" s="7" t="s">
        <v>71</v>
      </c>
      <c r="Q19" s="7" t="s">
        <v>43</v>
      </c>
      <c r="R19" s="7" t="s">
        <v>167</v>
      </c>
      <c r="S19" s="7" t="s">
        <v>168</v>
      </c>
      <c r="T19" s="7" t="s">
        <v>46</v>
      </c>
      <c r="U19" s="7" t="s">
        <v>72</v>
      </c>
    </row>
    <row r="20" spans="1:21" x14ac:dyDescent="0.35">
      <c r="A20">
        <v>2501976485</v>
      </c>
      <c r="B20" t="str">
        <f t="shared" si="1"/>
        <v>D6670</v>
      </c>
      <c r="E20" s="2" t="s">
        <v>169</v>
      </c>
      <c r="F20" s="2">
        <v>2702245431</v>
      </c>
      <c r="G20" s="2" t="s">
        <v>170</v>
      </c>
      <c r="H20" s="2" t="s">
        <v>171</v>
      </c>
      <c r="I20" s="2" t="s">
        <v>172</v>
      </c>
      <c r="J20" s="2" t="s">
        <v>37</v>
      </c>
      <c r="K20" s="26" t="s">
        <v>173</v>
      </c>
      <c r="L20" s="26" t="s">
        <v>7</v>
      </c>
      <c r="M20" s="2" t="s">
        <v>174</v>
      </c>
      <c r="N20" s="2" t="s">
        <v>54</v>
      </c>
      <c r="O20" s="2" t="s">
        <v>175</v>
      </c>
      <c r="P20" s="2" t="s">
        <v>176</v>
      </c>
      <c r="Q20" s="2" t="s">
        <v>43</v>
      </c>
      <c r="R20" s="2" t="s">
        <v>44</v>
      </c>
      <c r="S20" s="2" t="s">
        <v>45</v>
      </c>
      <c r="T20" s="2" t="s">
        <v>83</v>
      </c>
      <c r="U20" s="2" t="s">
        <v>47</v>
      </c>
    </row>
    <row r="21" spans="1:21" x14ac:dyDescent="0.35">
      <c r="A21">
        <v>2702320210</v>
      </c>
      <c r="B21" t="str">
        <f t="shared" si="1"/>
        <v>D6469</v>
      </c>
      <c r="E21" s="7" t="s">
        <v>177</v>
      </c>
      <c r="F21" s="7">
        <v>2702341890</v>
      </c>
      <c r="G21" s="7" t="s">
        <v>178</v>
      </c>
      <c r="H21" s="7" t="s">
        <v>179</v>
      </c>
      <c r="I21" s="7" t="s">
        <v>180</v>
      </c>
      <c r="J21" s="7" t="s">
        <v>37</v>
      </c>
      <c r="K21" s="26" t="s">
        <v>132</v>
      </c>
      <c r="L21" s="26" t="s">
        <v>9</v>
      </c>
      <c r="M21" s="7" t="s">
        <v>174</v>
      </c>
      <c r="N21" s="7" t="s">
        <v>54</v>
      </c>
      <c r="O21" s="11" t="s">
        <v>133</v>
      </c>
      <c r="P21" s="11" t="s">
        <v>134</v>
      </c>
      <c r="Q21" s="11" t="s">
        <v>43</v>
      </c>
      <c r="R21" s="11" t="s">
        <v>44</v>
      </c>
      <c r="S21" s="11" t="s">
        <v>45</v>
      </c>
      <c r="T21" s="11" t="s">
        <v>46</v>
      </c>
      <c r="U21" s="11" t="s">
        <v>47</v>
      </c>
    </row>
    <row r="22" spans="1:21" x14ac:dyDescent="0.35">
      <c r="A22">
        <v>2702260382</v>
      </c>
      <c r="B22" t="str">
        <f t="shared" si="1"/>
        <v>D6274</v>
      </c>
      <c r="E22" s="7" t="s">
        <v>181</v>
      </c>
      <c r="F22" s="7">
        <v>2702352250</v>
      </c>
      <c r="G22" s="7" t="s">
        <v>182</v>
      </c>
      <c r="H22" s="7" t="s">
        <v>183</v>
      </c>
      <c r="I22" s="7" t="s">
        <v>184</v>
      </c>
      <c r="J22" s="7" t="s">
        <v>37</v>
      </c>
      <c r="K22" s="29" t="s">
        <v>77</v>
      </c>
      <c r="L22" s="29" t="s">
        <v>13</v>
      </c>
      <c r="M22" s="7" t="s">
        <v>185</v>
      </c>
      <c r="N22" s="7" t="s">
        <v>54</v>
      </c>
      <c r="O22" s="7" t="s">
        <v>78</v>
      </c>
      <c r="P22" s="7" t="s">
        <v>79</v>
      </c>
      <c r="Q22" s="7" t="s">
        <v>80</v>
      </c>
      <c r="R22" s="7" t="s">
        <v>186</v>
      </c>
      <c r="S22" s="7" t="s">
        <v>82</v>
      </c>
      <c r="T22" s="7" t="s">
        <v>46</v>
      </c>
      <c r="U22" s="7" t="s">
        <v>72</v>
      </c>
    </row>
    <row r="23" spans="1:21" x14ac:dyDescent="0.35">
      <c r="A23">
        <v>2702314460</v>
      </c>
      <c r="B23" t="str">
        <f t="shared" si="1"/>
        <v>D5918</v>
      </c>
      <c r="E23" s="2" t="s">
        <v>187</v>
      </c>
      <c r="F23" s="2">
        <v>2702308810</v>
      </c>
      <c r="G23" s="2" t="s">
        <v>188</v>
      </c>
      <c r="H23" s="2" t="s">
        <v>189</v>
      </c>
      <c r="I23" s="2" t="s">
        <v>190</v>
      </c>
      <c r="J23" s="2" t="s">
        <v>37</v>
      </c>
      <c r="K23" s="26" t="s">
        <v>62</v>
      </c>
      <c r="L23" s="26" t="s">
        <v>8</v>
      </c>
      <c r="M23" s="2" t="s">
        <v>191</v>
      </c>
      <c r="N23" s="2" t="s">
        <v>54</v>
      </c>
      <c r="O23" s="3" t="s">
        <v>192</v>
      </c>
      <c r="P23" s="3" t="s">
        <v>193</v>
      </c>
      <c r="Q23" s="3" t="s">
        <v>43</v>
      </c>
      <c r="R23" s="4">
        <v>46055</v>
      </c>
      <c r="S23" s="4">
        <v>46389</v>
      </c>
      <c r="T23" s="3" t="s">
        <v>46</v>
      </c>
      <c r="U23" s="3" t="s">
        <v>47</v>
      </c>
    </row>
    <row r="24" spans="1:21" x14ac:dyDescent="0.35">
      <c r="A24">
        <v>2702282540</v>
      </c>
      <c r="B24" t="str">
        <f t="shared" si="1"/>
        <v>D6407</v>
      </c>
      <c r="E24" s="7" t="s">
        <v>194</v>
      </c>
      <c r="F24" s="7">
        <v>2702303362</v>
      </c>
      <c r="G24" s="7" t="s">
        <v>195</v>
      </c>
      <c r="H24" s="7" t="s">
        <v>196</v>
      </c>
      <c r="I24" s="7" t="s">
        <v>197</v>
      </c>
      <c r="J24" s="7" t="s">
        <v>37</v>
      </c>
      <c r="K24" s="26" t="s">
        <v>173</v>
      </c>
      <c r="L24" s="26" t="s">
        <v>7</v>
      </c>
      <c r="M24" s="7" t="s">
        <v>198</v>
      </c>
      <c r="N24" s="7" t="s">
        <v>40</v>
      </c>
      <c r="O24" s="7" t="s">
        <v>199</v>
      </c>
      <c r="P24" s="7" t="s">
        <v>200</v>
      </c>
      <c r="Q24" s="7" t="s">
        <v>43</v>
      </c>
      <c r="R24" s="7" t="s">
        <v>44</v>
      </c>
      <c r="S24" s="7" t="s">
        <v>45</v>
      </c>
      <c r="T24" s="7" t="s">
        <v>46</v>
      </c>
      <c r="U24" s="7" t="s">
        <v>47</v>
      </c>
    </row>
    <row r="25" spans="1:21" x14ac:dyDescent="0.35">
      <c r="A25">
        <v>2602071940</v>
      </c>
      <c r="B25" t="str">
        <f t="shared" si="1"/>
        <v>D6532</v>
      </c>
      <c r="E25" s="7" t="s">
        <v>201</v>
      </c>
      <c r="F25" s="7">
        <v>2702234466</v>
      </c>
      <c r="G25" s="7" t="s">
        <v>202</v>
      </c>
      <c r="H25" s="7" t="s">
        <v>203</v>
      </c>
      <c r="I25" s="7" t="s">
        <v>204</v>
      </c>
      <c r="J25" s="7" t="s">
        <v>37</v>
      </c>
      <c r="K25" s="29" t="s">
        <v>77</v>
      </c>
      <c r="L25" s="29" t="s">
        <v>13</v>
      </c>
      <c r="M25" s="7" t="s">
        <v>205</v>
      </c>
      <c r="N25" s="7" t="s">
        <v>54</v>
      </c>
      <c r="O25" s="7" t="s">
        <v>78</v>
      </c>
      <c r="P25" s="7" t="s">
        <v>79</v>
      </c>
      <c r="Q25" s="7" t="s">
        <v>80</v>
      </c>
      <c r="R25" s="7" t="s">
        <v>186</v>
      </c>
      <c r="S25" s="7" t="s">
        <v>82</v>
      </c>
      <c r="T25" s="7" t="s">
        <v>46</v>
      </c>
      <c r="U25" s="7" t="s">
        <v>47</v>
      </c>
    </row>
    <row r="26" spans="1:21" x14ac:dyDescent="0.35">
      <c r="A26">
        <v>2702271915</v>
      </c>
      <c r="B26" t="str">
        <f t="shared" si="1"/>
        <v>D6826</v>
      </c>
      <c r="E26" s="2" t="s">
        <v>206</v>
      </c>
      <c r="F26" s="2">
        <v>2702239681</v>
      </c>
      <c r="G26" s="2" t="s">
        <v>207</v>
      </c>
      <c r="H26" s="2" t="s">
        <v>208</v>
      </c>
      <c r="I26" s="2" t="s">
        <v>209</v>
      </c>
      <c r="J26" s="2" t="s">
        <v>37</v>
      </c>
      <c r="K26" s="29" t="s">
        <v>77</v>
      </c>
      <c r="L26" s="29" t="s">
        <v>13</v>
      </c>
      <c r="M26" s="2" t="s">
        <v>205</v>
      </c>
      <c r="N26" s="2" t="s">
        <v>40</v>
      </c>
      <c r="O26" s="2" t="s">
        <v>78</v>
      </c>
      <c r="P26" s="2" t="s">
        <v>79</v>
      </c>
      <c r="Q26" s="2" t="s">
        <v>80</v>
      </c>
      <c r="R26" s="2" t="s">
        <v>81</v>
      </c>
      <c r="S26" s="2" t="s">
        <v>82</v>
      </c>
      <c r="T26" s="2" t="s">
        <v>83</v>
      </c>
      <c r="U26" s="2" t="s">
        <v>72</v>
      </c>
    </row>
    <row r="27" spans="1:21" x14ac:dyDescent="0.35">
      <c r="A27">
        <v>2602208750</v>
      </c>
      <c r="B27" t="str">
        <f t="shared" si="1"/>
        <v>D6826</v>
      </c>
      <c r="E27" s="2" t="s">
        <v>210</v>
      </c>
      <c r="F27" s="2">
        <v>2702228892</v>
      </c>
      <c r="G27" s="2" t="s">
        <v>211</v>
      </c>
      <c r="H27" s="2" t="s">
        <v>212</v>
      </c>
      <c r="I27" s="2" t="s">
        <v>213</v>
      </c>
      <c r="J27" s="2" t="s">
        <v>37</v>
      </c>
      <c r="K27" s="23" t="s">
        <v>214</v>
      </c>
      <c r="L27" s="23" t="s">
        <v>0</v>
      </c>
      <c r="M27" s="2" t="s">
        <v>215</v>
      </c>
      <c r="N27" s="2" t="s">
        <v>40</v>
      </c>
      <c r="O27" s="19" t="s">
        <v>107</v>
      </c>
      <c r="P27" s="19" t="s">
        <v>108</v>
      </c>
      <c r="Q27" s="19" t="s">
        <v>109</v>
      </c>
      <c r="R27" s="20">
        <v>46055</v>
      </c>
      <c r="S27" s="19" t="s">
        <v>110</v>
      </c>
      <c r="T27" s="19" t="s">
        <v>46</v>
      </c>
      <c r="U27" s="19" t="s">
        <v>47</v>
      </c>
    </row>
    <row r="28" spans="1:21" x14ac:dyDescent="0.35">
      <c r="A28">
        <v>2702262476</v>
      </c>
      <c r="B28" t="str">
        <f t="shared" si="1"/>
        <v>D5918</v>
      </c>
      <c r="E28" s="2" t="s">
        <v>216</v>
      </c>
      <c r="F28" s="2">
        <v>2702239750</v>
      </c>
      <c r="G28" s="2" t="s">
        <v>217</v>
      </c>
      <c r="H28" s="2" t="s">
        <v>218</v>
      </c>
      <c r="I28" s="2" t="s">
        <v>219</v>
      </c>
      <c r="J28" s="2" t="s">
        <v>37</v>
      </c>
      <c r="K28" s="29" t="s">
        <v>150</v>
      </c>
      <c r="L28" s="29" t="s">
        <v>6</v>
      </c>
      <c r="M28" s="2" t="s">
        <v>220</v>
      </c>
      <c r="N28" s="2" t="s">
        <v>54</v>
      </c>
      <c r="O28" s="2" t="s">
        <v>221</v>
      </c>
      <c r="P28" s="2" t="s">
        <v>222</v>
      </c>
      <c r="Q28" s="2" t="s">
        <v>43</v>
      </c>
      <c r="R28" s="2" t="s">
        <v>44</v>
      </c>
      <c r="S28" s="2" t="s">
        <v>45</v>
      </c>
      <c r="T28" s="2" t="s">
        <v>83</v>
      </c>
      <c r="U28" s="2" t="s">
        <v>72</v>
      </c>
    </row>
    <row r="29" spans="1:21" x14ac:dyDescent="0.35">
      <c r="A29">
        <v>2702379145</v>
      </c>
      <c r="B29" t="str">
        <f t="shared" si="1"/>
        <v>D5918</v>
      </c>
      <c r="E29" s="7" t="s">
        <v>223</v>
      </c>
      <c r="F29" s="7">
        <v>2702352414</v>
      </c>
      <c r="G29" s="7" t="s">
        <v>224</v>
      </c>
      <c r="H29" s="7" t="s">
        <v>225</v>
      </c>
      <c r="I29" s="7" t="s">
        <v>226</v>
      </c>
      <c r="J29" s="7" t="s">
        <v>37</v>
      </c>
      <c r="K29" s="26" t="s">
        <v>173</v>
      </c>
      <c r="L29" s="26" t="s">
        <v>7</v>
      </c>
      <c r="M29" s="7" t="s">
        <v>220</v>
      </c>
      <c r="N29" s="7" t="s">
        <v>54</v>
      </c>
      <c r="O29" s="8" t="s">
        <v>227</v>
      </c>
      <c r="P29" s="8" t="s">
        <v>228</v>
      </c>
      <c r="Q29" s="8" t="s">
        <v>43</v>
      </c>
      <c r="R29" s="16">
        <v>46055</v>
      </c>
      <c r="S29" s="16">
        <v>46420</v>
      </c>
      <c r="T29" s="8" t="s">
        <v>46</v>
      </c>
      <c r="U29" s="8" t="s">
        <v>72</v>
      </c>
    </row>
    <row r="30" spans="1:21" x14ac:dyDescent="0.35">
      <c r="E30" s="7" t="s">
        <v>229</v>
      </c>
      <c r="F30" s="7">
        <v>2702236805</v>
      </c>
      <c r="G30" s="7" t="s">
        <v>230</v>
      </c>
      <c r="H30" s="7" t="s">
        <v>231</v>
      </c>
      <c r="I30" s="7" t="s">
        <v>232</v>
      </c>
      <c r="J30" s="7" t="s">
        <v>37</v>
      </c>
      <c r="K30" s="26" t="s">
        <v>173</v>
      </c>
      <c r="L30" s="26" t="s">
        <v>7</v>
      </c>
      <c r="M30" s="7" t="s">
        <v>220</v>
      </c>
      <c r="N30" s="7" t="s">
        <v>40</v>
      </c>
      <c r="O30" s="13" t="s">
        <v>233</v>
      </c>
      <c r="P30" s="13" t="s">
        <v>56</v>
      </c>
      <c r="Q30" s="13" t="s">
        <v>43</v>
      </c>
      <c r="R30" s="17">
        <v>46055</v>
      </c>
      <c r="S30" s="13" t="s">
        <v>45</v>
      </c>
      <c r="T30" s="13" t="s">
        <v>46</v>
      </c>
      <c r="U30" s="13" t="s">
        <v>47</v>
      </c>
    </row>
    <row r="31" spans="1:21" x14ac:dyDescent="0.35">
      <c r="E31" s="7" t="s">
        <v>234</v>
      </c>
      <c r="F31" s="7">
        <v>2702361652</v>
      </c>
      <c r="G31" s="7" t="s">
        <v>235</v>
      </c>
      <c r="H31" s="7" t="s">
        <v>236</v>
      </c>
      <c r="I31" s="7" t="s">
        <v>237</v>
      </c>
      <c r="J31" s="7" t="s">
        <v>37</v>
      </c>
      <c r="K31" s="24" t="s">
        <v>214</v>
      </c>
      <c r="L31" s="24" t="s">
        <v>0</v>
      </c>
      <c r="M31" s="7" t="s">
        <v>220</v>
      </c>
      <c r="N31" s="7" t="s">
        <v>54</v>
      </c>
      <c r="O31" s="7" t="s">
        <v>238</v>
      </c>
      <c r="P31" s="7" t="s">
        <v>239</v>
      </c>
      <c r="Q31" s="7" t="s">
        <v>43</v>
      </c>
      <c r="R31" s="7" t="s">
        <v>186</v>
      </c>
      <c r="S31" s="7" t="s">
        <v>240</v>
      </c>
      <c r="T31" s="7" t="s">
        <v>46</v>
      </c>
      <c r="U31" s="7" t="s">
        <v>72</v>
      </c>
    </row>
    <row r="32" spans="1:21" x14ac:dyDescent="0.35">
      <c r="E32" s="2" t="s">
        <v>241</v>
      </c>
      <c r="F32" s="2">
        <v>2702229176</v>
      </c>
      <c r="G32" s="2" t="s">
        <v>242</v>
      </c>
      <c r="H32" s="2" t="s">
        <v>243</v>
      </c>
      <c r="I32" s="2" t="s">
        <v>244</v>
      </c>
      <c r="J32" s="2" t="s">
        <v>37</v>
      </c>
      <c r="K32" s="26" t="s">
        <v>52</v>
      </c>
      <c r="L32" s="26" t="s">
        <v>2</v>
      </c>
      <c r="M32" s="2" t="s">
        <v>245</v>
      </c>
      <c r="N32" s="2" t="s">
        <v>40</v>
      </c>
      <c r="O32" s="6" t="s">
        <v>246</v>
      </c>
      <c r="P32" s="6" t="s">
        <v>222</v>
      </c>
      <c r="Q32" s="6" t="s">
        <v>43</v>
      </c>
      <c r="R32" s="25">
        <v>46055</v>
      </c>
      <c r="S32" s="25">
        <v>46420</v>
      </c>
      <c r="T32" s="6" t="s">
        <v>46</v>
      </c>
      <c r="U32" s="6" t="s">
        <v>47</v>
      </c>
    </row>
    <row r="33" spans="5:21" x14ac:dyDescent="0.35">
      <c r="E33" s="7" t="s">
        <v>247</v>
      </c>
      <c r="F33" s="7">
        <v>2702228734</v>
      </c>
      <c r="G33" s="7" t="s">
        <v>248</v>
      </c>
      <c r="H33" s="7" t="s">
        <v>249</v>
      </c>
      <c r="I33" s="7" t="s">
        <v>250</v>
      </c>
      <c r="J33" s="7" t="s">
        <v>37</v>
      </c>
      <c r="K33" s="29" t="s">
        <v>150</v>
      </c>
      <c r="L33" s="29" t="s">
        <v>6</v>
      </c>
      <c r="M33" s="7" t="s">
        <v>251</v>
      </c>
      <c r="N33" s="7" t="s">
        <v>40</v>
      </c>
      <c r="O33" s="9" t="s">
        <v>252</v>
      </c>
      <c r="P33" s="9" t="s">
        <v>121</v>
      </c>
      <c r="Q33" s="9" t="s">
        <v>43</v>
      </c>
      <c r="R33" s="10">
        <v>46358</v>
      </c>
      <c r="S33" s="9" t="s">
        <v>45</v>
      </c>
      <c r="T33" s="9" t="s">
        <v>46</v>
      </c>
      <c r="U33" s="9" t="s">
        <v>47</v>
      </c>
    </row>
    <row r="34" spans="5:21" x14ac:dyDescent="0.35">
      <c r="E34" s="2" t="s">
        <v>253</v>
      </c>
      <c r="F34" s="2">
        <v>2702327583</v>
      </c>
      <c r="G34" s="2" t="s">
        <v>254</v>
      </c>
      <c r="H34" s="2" t="s">
        <v>255</v>
      </c>
      <c r="I34" s="2" t="s">
        <v>256</v>
      </c>
      <c r="J34" s="2" t="s">
        <v>257</v>
      </c>
      <c r="K34" s="26" t="s">
        <v>258</v>
      </c>
      <c r="L34" s="26" t="s">
        <v>10</v>
      </c>
      <c r="M34" s="2" t="s">
        <v>259</v>
      </c>
      <c r="N34" s="2" t="s">
        <v>54</v>
      </c>
      <c r="O34" s="12" t="s">
        <v>260</v>
      </c>
      <c r="P34" s="12" t="s">
        <v>260</v>
      </c>
      <c r="Q34" s="12" t="s">
        <v>260</v>
      </c>
      <c r="R34" s="12" t="s">
        <v>260</v>
      </c>
      <c r="S34" s="12" t="s">
        <v>260</v>
      </c>
      <c r="T34" s="12" t="s">
        <v>260</v>
      </c>
      <c r="U34" s="12" t="s">
        <v>72</v>
      </c>
    </row>
    <row r="35" spans="5:21" x14ac:dyDescent="0.35">
      <c r="E35" s="7" t="s">
        <v>261</v>
      </c>
      <c r="F35" s="7">
        <v>2702252134</v>
      </c>
      <c r="G35" s="7" t="s">
        <v>262</v>
      </c>
      <c r="H35" s="7" t="s">
        <v>263</v>
      </c>
      <c r="I35" s="7" t="s">
        <v>264</v>
      </c>
      <c r="J35" s="7" t="s">
        <v>37</v>
      </c>
      <c r="K35" s="29" t="s">
        <v>38</v>
      </c>
      <c r="L35" s="29" t="s">
        <v>12</v>
      </c>
      <c r="M35" s="7" t="s">
        <v>265</v>
      </c>
      <c r="N35" s="7" t="s">
        <v>54</v>
      </c>
      <c r="O35" s="24" t="s">
        <v>41</v>
      </c>
      <c r="P35" s="24" t="s">
        <v>71</v>
      </c>
      <c r="Q35" s="24" t="s">
        <v>43</v>
      </c>
      <c r="R35" s="24" t="s">
        <v>44</v>
      </c>
      <c r="S35" s="24" t="s">
        <v>45</v>
      </c>
      <c r="T35" s="24" t="s">
        <v>46</v>
      </c>
      <c r="U35" s="24" t="s">
        <v>47</v>
      </c>
    </row>
    <row r="36" spans="5:21" x14ac:dyDescent="0.35">
      <c r="E36" s="2" t="s">
        <v>266</v>
      </c>
      <c r="F36" s="2">
        <v>2702252102</v>
      </c>
      <c r="G36" s="2" t="s">
        <v>267</v>
      </c>
      <c r="H36" s="2" t="s">
        <v>268</v>
      </c>
      <c r="I36" s="2" t="s">
        <v>269</v>
      </c>
      <c r="J36" s="2" t="s">
        <v>37</v>
      </c>
      <c r="K36" s="29" t="s">
        <v>270</v>
      </c>
      <c r="L36" s="29" t="s">
        <v>5</v>
      </c>
      <c r="M36" s="2" t="s">
        <v>265</v>
      </c>
      <c r="N36" s="2" t="s">
        <v>40</v>
      </c>
      <c r="O36" s="30" t="s">
        <v>271</v>
      </c>
      <c r="P36" s="30" t="s">
        <v>272</v>
      </c>
      <c r="Q36" s="30" t="s">
        <v>43</v>
      </c>
      <c r="R36" s="33">
        <v>46055</v>
      </c>
      <c r="S36" s="33">
        <v>46420</v>
      </c>
      <c r="T36" s="30" t="s">
        <v>46</v>
      </c>
      <c r="U36" s="30" t="s">
        <v>47</v>
      </c>
    </row>
    <row r="37" spans="5:21" x14ac:dyDescent="0.35">
      <c r="E37" s="2" t="s">
        <v>273</v>
      </c>
      <c r="F37" s="2">
        <v>2602074103</v>
      </c>
      <c r="G37" s="2" t="s">
        <v>274</v>
      </c>
      <c r="H37" s="2" t="s">
        <v>275</v>
      </c>
      <c r="I37" s="2" t="s">
        <v>276</v>
      </c>
      <c r="J37" s="2" t="s">
        <v>37</v>
      </c>
      <c r="K37" s="26" t="s">
        <v>52</v>
      </c>
      <c r="L37" s="26" t="s">
        <v>2</v>
      </c>
      <c r="M37" s="2" t="s">
        <v>277</v>
      </c>
      <c r="N37" s="2" t="s">
        <v>278</v>
      </c>
      <c r="O37" s="23" t="s">
        <v>279</v>
      </c>
      <c r="P37" s="23" t="s">
        <v>222</v>
      </c>
      <c r="Q37" s="23" t="s">
        <v>109</v>
      </c>
      <c r="R37" s="23" t="s">
        <v>44</v>
      </c>
      <c r="S37" s="23" t="s">
        <v>280</v>
      </c>
      <c r="T37" s="23" t="s">
        <v>46</v>
      </c>
      <c r="U37" s="23" t="s">
        <v>47</v>
      </c>
    </row>
    <row r="38" spans="5:21" x14ac:dyDescent="0.35">
      <c r="E38" s="7" t="s">
        <v>281</v>
      </c>
      <c r="F38" s="7">
        <v>2702282591</v>
      </c>
      <c r="G38" s="7" t="s">
        <v>282</v>
      </c>
      <c r="H38" s="7" t="s">
        <v>283</v>
      </c>
      <c r="I38" s="7" t="s">
        <v>284</v>
      </c>
      <c r="J38" s="7" t="s">
        <v>37</v>
      </c>
      <c r="K38" s="26" t="s">
        <v>52</v>
      </c>
      <c r="L38" s="26" t="s">
        <v>2</v>
      </c>
      <c r="M38" s="7" t="s">
        <v>285</v>
      </c>
      <c r="N38" s="7" t="s">
        <v>54</v>
      </c>
      <c r="O38" s="31" t="s">
        <v>286</v>
      </c>
      <c r="P38" s="31" t="s">
        <v>56</v>
      </c>
      <c r="Q38" s="31" t="s">
        <v>43</v>
      </c>
      <c r="R38" s="32">
        <v>46055</v>
      </c>
      <c r="S38" s="31" t="s">
        <v>45</v>
      </c>
      <c r="T38" s="31" t="s">
        <v>46</v>
      </c>
      <c r="U38" s="31" t="s">
        <v>47</v>
      </c>
    </row>
    <row r="39" spans="5:21" x14ac:dyDescent="0.35">
      <c r="E39" s="2" t="s">
        <v>287</v>
      </c>
      <c r="F39" s="2">
        <v>2702334784</v>
      </c>
      <c r="G39" s="2" t="s">
        <v>288</v>
      </c>
      <c r="H39" s="2" t="s">
        <v>289</v>
      </c>
      <c r="I39" s="2" t="s">
        <v>290</v>
      </c>
      <c r="J39" s="2" t="s">
        <v>37</v>
      </c>
      <c r="K39" s="26" t="s">
        <v>173</v>
      </c>
      <c r="L39" s="26" t="s">
        <v>7</v>
      </c>
      <c r="M39" s="2" t="s">
        <v>291</v>
      </c>
      <c r="N39" s="2" t="s">
        <v>40</v>
      </c>
      <c r="O39" s="23" t="s">
        <v>292</v>
      </c>
      <c r="P39" s="23" t="s">
        <v>200</v>
      </c>
      <c r="Q39" s="23" t="s">
        <v>43</v>
      </c>
      <c r="R39" s="23" t="s">
        <v>44</v>
      </c>
      <c r="S39" s="23" t="s">
        <v>153</v>
      </c>
      <c r="T39" s="23" t="s">
        <v>46</v>
      </c>
      <c r="U39" s="23" t="s">
        <v>72</v>
      </c>
    </row>
    <row r="40" spans="5:21" x14ac:dyDescent="0.35">
      <c r="E40" s="7" t="s">
        <v>293</v>
      </c>
      <c r="F40" s="7">
        <v>2702319051</v>
      </c>
      <c r="G40" s="7" t="s">
        <v>294</v>
      </c>
      <c r="H40" s="7" t="s">
        <v>295</v>
      </c>
      <c r="I40" s="7" t="s">
        <v>296</v>
      </c>
      <c r="J40" s="7" t="s">
        <v>37</v>
      </c>
      <c r="K40" s="26" t="s">
        <v>297</v>
      </c>
      <c r="L40" s="26" t="s">
        <v>3</v>
      </c>
      <c r="M40" s="7" t="s">
        <v>298</v>
      </c>
      <c r="N40" s="7" t="s">
        <v>40</v>
      </c>
      <c r="O40" s="21" t="s">
        <v>107</v>
      </c>
      <c r="P40" s="21" t="s">
        <v>108</v>
      </c>
      <c r="Q40" s="21" t="s">
        <v>109</v>
      </c>
      <c r="R40" s="22">
        <v>46055</v>
      </c>
      <c r="S40" s="21" t="s">
        <v>110</v>
      </c>
      <c r="T40" s="21" t="s">
        <v>46</v>
      </c>
      <c r="U40" s="21" t="s">
        <v>47</v>
      </c>
    </row>
    <row r="41" spans="5:21" x14ac:dyDescent="0.35">
      <c r="E41" s="7" t="s">
        <v>299</v>
      </c>
      <c r="F41" s="7">
        <v>2702275485</v>
      </c>
      <c r="G41" s="7" t="s">
        <v>300</v>
      </c>
      <c r="H41" s="7" t="s">
        <v>301</v>
      </c>
      <c r="I41" s="7" t="s">
        <v>302</v>
      </c>
      <c r="J41" s="7" t="s">
        <v>37</v>
      </c>
      <c r="K41" s="7" t="s">
        <v>214</v>
      </c>
      <c r="L41" s="7" t="s">
        <v>0</v>
      </c>
      <c r="M41" s="7" t="s">
        <v>298</v>
      </c>
      <c r="N41" s="7" t="s">
        <v>40</v>
      </c>
      <c r="O41" s="7" t="s">
        <v>303</v>
      </c>
      <c r="P41" s="7" t="s">
        <v>304</v>
      </c>
      <c r="Q41" s="7" t="s">
        <v>43</v>
      </c>
      <c r="R41" s="7" t="s">
        <v>44</v>
      </c>
      <c r="S41" s="7" t="s">
        <v>45</v>
      </c>
      <c r="T41" s="7" t="s">
        <v>46</v>
      </c>
      <c r="U41" s="7" t="s">
        <v>47</v>
      </c>
    </row>
    <row r="42" spans="5:21" x14ac:dyDescent="0.35">
      <c r="E42" s="2" t="s">
        <v>305</v>
      </c>
      <c r="F42" s="2">
        <v>2702261574</v>
      </c>
      <c r="G42" s="2" t="s">
        <v>306</v>
      </c>
      <c r="H42" s="2" t="s">
        <v>307</v>
      </c>
      <c r="I42" s="2" t="s">
        <v>308</v>
      </c>
      <c r="J42" s="2" t="s">
        <v>37</v>
      </c>
      <c r="K42" s="26" t="s">
        <v>52</v>
      </c>
      <c r="L42" s="26" t="s">
        <v>2</v>
      </c>
      <c r="M42" s="2" t="s">
        <v>309</v>
      </c>
      <c r="N42" s="2" t="s">
        <v>54</v>
      </c>
      <c r="O42" s="2" t="s">
        <v>310</v>
      </c>
      <c r="P42" s="2" t="s">
        <v>222</v>
      </c>
      <c r="Q42" s="2" t="s">
        <v>43</v>
      </c>
      <c r="R42" s="2" t="s">
        <v>44</v>
      </c>
      <c r="S42" s="2" t="s">
        <v>45</v>
      </c>
      <c r="T42" s="2" t="s">
        <v>46</v>
      </c>
      <c r="U42" s="2" t="s">
        <v>47</v>
      </c>
    </row>
    <row r="43" spans="5:21" x14ac:dyDescent="0.35">
      <c r="E43" s="7" t="s">
        <v>311</v>
      </c>
      <c r="F43" s="7">
        <v>2702286412</v>
      </c>
      <c r="G43" s="7" t="s">
        <v>312</v>
      </c>
      <c r="H43" s="7" t="s">
        <v>313</v>
      </c>
      <c r="I43" s="7" t="s">
        <v>314</v>
      </c>
      <c r="J43" s="7" t="s">
        <v>37</v>
      </c>
      <c r="K43" s="7" t="s">
        <v>214</v>
      </c>
      <c r="L43" s="7" t="s">
        <v>0</v>
      </c>
      <c r="M43" s="7" t="s">
        <v>309</v>
      </c>
      <c r="N43" s="7" t="s">
        <v>40</v>
      </c>
      <c r="O43" s="8" t="s">
        <v>303</v>
      </c>
      <c r="P43" s="8" t="s">
        <v>315</v>
      </c>
      <c r="Q43" s="8" t="s">
        <v>43</v>
      </c>
      <c r="R43" s="16">
        <v>46055</v>
      </c>
      <c r="S43" s="8" t="s">
        <v>45</v>
      </c>
      <c r="T43" s="8" t="s">
        <v>122</v>
      </c>
      <c r="U43" s="8" t="s">
        <v>47</v>
      </c>
    </row>
    <row r="44" spans="5:21" x14ac:dyDescent="0.35">
      <c r="E44" s="7" t="s">
        <v>316</v>
      </c>
      <c r="F44" s="7">
        <v>2702233791</v>
      </c>
      <c r="G44" s="7" t="s">
        <v>317</v>
      </c>
      <c r="H44" s="7" t="s">
        <v>318</v>
      </c>
      <c r="I44" s="7" t="s">
        <v>319</v>
      </c>
      <c r="J44" s="7" t="s">
        <v>37</v>
      </c>
      <c r="K44" s="26" t="s">
        <v>38</v>
      </c>
      <c r="L44" s="26" t="s">
        <v>12</v>
      </c>
      <c r="M44" s="7" t="s">
        <v>309</v>
      </c>
      <c r="N44" s="7" t="s">
        <v>40</v>
      </c>
      <c r="O44" s="9" t="s">
        <v>41</v>
      </c>
      <c r="P44" s="9" t="s">
        <v>320</v>
      </c>
      <c r="Q44" s="9" t="s">
        <v>43</v>
      </c>
      <c r="R44" s="10">
        <v>46055</v>
      </c>
      <c r="S44" s="9" t="s">
        <v>45</v>
      </c>
      <c r="T44" s="9" t="s">
        <v>46</v>
      </c>
      <c r="U44" s="9" t="s">
        <v>47</v>
      </c>
    </row>
    <row r="45" spans="5:21" x14ac:dyDescent="0.35">
      <c r="E45" s="7" t="s">
        <v>321</v>
      </c>
      <c r="F45" s="7">
        <v>2702262791</v>
      </c>
      <c r="G45" s="7" t="s">
        <v>322</v>
      </c>
      <c r="H45" s="7" t="s">
        <v>323</v>
      </c>
      <c r="I45" s="7" t="s">
        <v>324</v>
      </c>
      <c r="J45" s="7" t="s">
        <v>37</v>
      </c>
      <c r="K45" s="26" t="s">
        <v>270</v>
      </c>
      <c r="L45" s="26" t="s">
        <v>5</v>
      </c>
      <c r="M45" s="7" t="s">
        <v>309</v>
      </c>
      <c r="N45" s="7" t="s">
        <v>54</v>
      </c>
      <c r="O45" s="8" t="s">
        <v>325</v>
      </c>
      <c r="P45" s="8" t="s">
        <v>326</v>
      </c>
      <c r="Q45" s="8" t="s">
        <v>43</v>
      </c>
      <c r="R45" s="16">
        <v>46055</v>
      </c>
      <c r="S45" s="8" t="s">
        <v>45</v>
      </c>
      <c r="T45" s="8" t="s">
        <v>46</v>
      </c>
      <c r="U45" s="8" t="s">
        <v>47</v>
      </c>
    </row>
    <row r="46" spans="5:21" x14ac:dyDescent="0.35">
      <c r="E46" s="7" t="s">
        <v>327</v>
      </c>
      <c r="F46" s="7">
        <v>2702361620</v>
      </c>
      <c r="G46" s="7" t="s">
        <v>328</v>
      </c>
      <c r="H46" s="7" t="s">
        <v>329</v>
      </c>
      <c r="I46" s="7" t="s">
        <v>330</v>
      </c>
      <c r="J46" s="7" t="s">
        <v>37</v>
      </c>
      <c r="K46" s="29" t="s">
        <v>132</v>
      </c>
      <c r="L46" s="29" t="s">
        <v>9</v>
      </c>
      <c r="M46" s="7" t="s">
        <v>331</v>
      </c>
      <c r="N46" s="7" t="s">
        <v>40</v>
      </c>
      <c r="O46" s="7" t="s">
        <v>332</v>
      </c>
      <c r="P46" s="7" t="s">
        <v>333</v>
      </c>
      <c r="Q46" s="7" t="s">
        <v>43</v>
      </c>
      <c r="R46" s="7" t="s">
        <v>44</v>
      </c>
      <c r="S46" s="7" t="s">
        <v>45</v>
      </c>
      <c r="T46" s="7" t="s">
        <v>83</v>
      </c>
      <c r="U46" s="7" t="s">
        <v>47</v>
      </c>
    </row>
    <row r="47" spans="5:21" x14ac:dyDescent="0.35">
      <c r="E47" s="2" t="s">
        <v>334</v>
      </c>
      <c r="F47" s="2">
        <v>2702250261</v>
      </c>
      <c r="G47" s="2" t="s">
        <v>335</v>
      </c>
      <c r="H47" s="2" t="s">
        <v>336</v>
      </c>
      <c r="I47" s="2" t="s">
        <v>337</v>
      </c>
      <c r="J47" s="2" t="s">
        <v>37</v>
      </c>
      <c r="K47" s="29" t="s">
        <v>38</v>
      </c>
      <c r="L47" s="29" t="s">
        <v>12</v>
      </c>
      <c r="M47" s="2" t="s">
        <v>338</v>
      </c>
      <c r="N47" s="2" t="s">
        <v>40</v>
      </c>
      <c r="O47" s="2" t="s">
        <v>41</v>
      </c>
      <c r="P47" s="2" t="s">
        <v>42</v>
      </c>
      <c r="Q47" s="2" t="s">
        <v>43</v>
      </c>
      <c r="R47" s="2" t="s">
        <v>44</v>
      </c>
      <c r="S47" s="2" t="s">
        <v>45</v>
      </c>
      <c r="T47" s="2" t="s">
        <v>46</v>
      </c>
      <c r="U47" s="2" t="s">
        <v>72</v>
      </c>
    </row>
    <row r="48" spans="5:21" x14ac:dyDescent="0.35">
      <c r="E48" s="7" t="s">
        <v>339</v>
      </c>
      <c r="F48" s="7">
        <v>2702233311</v>
      </c>
      <c r="G48" s="7" t="s">
        <v>340</v>
      </c>
      <c r="H48" s="7" t="s">
        <v>341</v>
      </c>
      <c r="I48" s="7" t="s">
        <v>342</v>
      </c>
      <c r="J48" s="7" t="s">
        <v>37</v>
      </c>
      <c r="K48" s="29" t="s">
        <v>38</v>
      </c>
      <c r="L48" s="29" t="s">
        <v>12</v>
      </c>
      <c r="M48" s="7" t="s">
        <v>343</v>
      </c>
      <c r="N48" s="7" t="s">
        <v>40</v>
      </c>
      <c r="O48" s="7" t="s">
        <v>41</v>
      </c>
      <c r="P48" s="7" t="s">
        <v>71</v>
      </c>
      <c r="Q48" s="7" t="s">
        <v>43</v>
      </c>
      <c r="R48" s="7" t="s">
        <v>44</v>
      </c>
      <c r="S48" s="7" t="s">
        <v>45</v>
      </c>
      <c r="T48" s="7" t="s">
        <v>46</v>
      </c>
      <c r="U48" s="7" t="s">
        <v>72</v>
      </c>
    </row>
    <row r="49" spans="5:21" x14ac:dyDescent="0.35">
      <c r="E49" s="2" t="s">
        <v>344</v>
      </c>
      <c r="F49" s="2">
        <v>2702272003</v>
      </c>
      <c r="G49" s="2" t="s">
        <v>345</v>
      </c>
      <c r="H49" s="2" t="s">
        <v>346</v>
      </c>
      <c r="I49" s="2" t="s">
        <v>347</v>
      </c>
      <c r="J49" s="2" t="s">
        <v>37</v>
      </c>
      <c r="K49" s="26" t="s">
        <v>173</v>
      </c>
      <c r="L49" s="26" t="s">
        <v>7</v>
      </c>
      <c r="M49" s="2" t="s">
        <v>343</v>
      </c>
      <c r="N49" s="2" t="s">
        <v>40</v>
      </c>
      <c r="O49" s="2" t="s">
        <v>348</v>
      </c>
      <c r="P49" s="2" t="s">
        <v>161</v>
      </c>
      <c r="Q49" s="2" t="s">
        <v>43</v>
      </c>
      <c r="R49" s="2" t="s">
        <v>44</v>
      </c>
      <c r="S49" s="2" t="s">
        <v>45</v>
      </c>
      <c r="T49" s="2" t="s">
        <v>46</v>
      </c>
      <c r="U49" s="2" t="s">
        <v>72</v>
      </c>
    </row>
    <row r="50" spans="5:21" x14ac:dyDescent="0.35">
      <c r="E50" s="7" t="s">
        <v>349</v>
      </c>
      <c r="F50" s="7">
        <v>2702320210</v>
      </c>
      <c r="G50" s="7" t="s">
        <v>350</v>
      </c>
      <c r="H50" s="7" t="s">
        <v>351</v>
      </c>
      <c r="I50" s="7" t="s">
        <v>352</v>
      </c>
      <c r="J50" s="7" t="s">
        <v>37</v>
      </c>
      <c r="K50" s="26" t="s">
        <v>158</v>
      </c>
      <c r="L50" s="26" t="s">
        <v>11</v>
      </c>
      <c r="M50" s="7" t="s">
        <v>353</v>
      </c>
      <c r="N50" s="7" t="s">
        <v>40</v>
      </c>
      <c r="O50" s="11" t="s">
        <v>354</v>
      </c>
      <c r="P50" s="11" t="s">
        <v>355</v>
      </c>
      <c r="Q50" s="11" t="s">
        <v>43</v>
      </c>
      <c r="R50" s="11" t="s">
        <v>44</v>
      </c>
      <c r="S50" s="11" t="s">
        <v>153</v>
      </c>
      <c r="T50" s="11" t="s">
        <v>46</v>
      </c>
      <c r="U50" s="11" t="s">
        <v>72</v>
      </c>
    </row>
    <row r="51" spans="5:21" x14ac:dyDescent="0.35">
      <c r="E51" s="2" t="s">
        <v>356</v>
      </c>
      <c r="F51" s="2">
        <v>2702261611</v>
      </c>
      <c r="G51" s="2" t="s">
        <v>357</v>
      </c>
      <c r="H51" s="2" t="s">
        <v>358</v>
      </c>
      <c r="I51" s="2" t="s">
        <v>359</v>
      </c>
      <c r="J51" s="2" t="s">
        <v>257</v>
      </c>
      <c r="K51" s="29" t="s">
        <v>297</v>
      </c>
      <c r="L51" s="29" t="s">
        <v>3</v>
      </c>
      <c r="M51" s="2" t="s">
        <v>360</v>
      </c>
      <c r="N51" s="2" t="s">
        <v>40</v>
      </c>
      <c r="O51" s="2" t="s">
        <v>260</v>
      </c>
      <c r="P51" s="2" t="s">
        <v>260</v>
      </c>
      <c r="Q51" s="2" t="s">
        <v>260</v>
      </c>
      <c r="R51" s="2" t="s">
        <v>260</v>
      </c>
      <c r="S51" s="2" t="s">
        <v>260</v>
      </c>
      <c r="T51" s="2" t="s">
        <v>260</v>
      </c>
      <c r="U51" s="2" t="s">
        <v>72</v>
      </c>
    </row>
    <row r="52" spans="5:21" x14ac:dyDescent="0.35">
      <c r="E52" s="7" t="s">
        <v>361</v>
      </c>
      <c r="F52" s="7">
        <v>2702259235</v>
      </c>
      <c r="G52" s="7" t="s">
        <v>362</v>
      </c>
      <c r="H52" s="7" t="s">
        <v>363</v>
      </c>
      <c r="I52" s="7" t="s">
        <v>364</v>
      </c>
      <c r="J52" s="7" t="s">
        <v>37</v>
      </c>
      <c r="K52" s="29" t="s">
        <v>38</v>
      </c>
      <c r="L52" s="29" t="s">
        <v>12</v>
      </c>
      <c r="M52" s="7" t="s">
        <v>365</v>
      </c>
      <c r="N52" s="7" t="s">
        <v>40</v>
      </c>
      <c r="O52" s="11" t="s">
        <v>366</v>
      </c>
      <c r="P52" s="11" t="s">
        <v>367</v>
      </c>
      <c r="Q52" s="11" t="s">
        <v>43</v>
      </c>
      <c r="R52" s="11" t="s">
        <v>368</v>
      </c>
      <c r="S52" s="11" t="s">
        <v>369</v>
      </c>
      <c r="T52" s="11" t="s">
        <v>46</v>
      </c>
      <c r="U52" s="11" t="s">
        <v>72</v>
      </c>
    </row>
    <row r="53" spans="5:21" x14ac:dyDescent="0.35">
      <c r="E53" s="2" t="s">
        <v>370</v>
      </c>
      <c r="F53" s="2">
        <v>2702259191</v>
      </c>
      <c r="G53" s="2" t="s">
        <v>371</v>
      </c>
      <c r="H53" s="2" t="s">
        <v>372</v>
      </c>
      <c r="I53" s="2" t="s">
        <v>373</v>
      </c>
      <c r="J53" s="2" t="s">
        <v>37</v>
      </c>
      <c r="K53" s="26" t="s">
        <v>52</v>
      </c>
      <c r="L53" s="26" t="s">
        <v>2</v>
      </c>
      <c r="M53" s="2" t="s">
        <v>365</v>
      </c>
      <c r="N53" s="2" t="s">
        <v>40</v>
      </c>
      <c r="O53" s="2" t="s">
        <v>89</v>
      </c>
      <c r="P53" s="2" t="s">
        <v>71</v>
      </c>
      <c r="Q53" s="2" t="s">
        <v>43</v>
      </c>
      <c r="R53" s="2" t="s">
        <v>44</v>
      </c>
      <c r="S53" s="2" t="s">
        <v>45</v>
      </c>
      <c r="T53" s="2" t="s">
        <v>83</v>
      </c>
      <c r="U53" s="2" t="s">
        <v>72</v>
      </c>
    </row>
    <row r="54" spans="5:21" x14ac:dyDescent="0.35">
      <c r="E54" s="2" t="s">
        <v>374</v>
      </c>
      <c r="F54" s="2">
        <v>2702267211</v>
      </c>
      <c r="G54" s="2" t="s">
        <v>375</v>
      </c>
      <c r="H54" s="2" t="s">
        <v>376</v>
      </c>
      <c r="I54" s="2" t="s">
        <v>377</v>
      </c>
      <c r="J54" s="2" t="s">
        <v>37</v>
      </c>
      <c r="K54" s="29" t="s">
        <v>77</v>
      </c>
      <c r="L54" s="29" t="s">
        <v>13</v>
      </c>
      <c r="M54" s="2" t="s">
        <v>378</v>
      </c>
      <c r="N54" s="2" t="s">
        <v>40</v>
      </c>
      <c r="O54" s="12" t="s">
        <v>78</v>
      </c>
      <c r="P54" s="12" t="s">
        <v>79</v>
      </c>
      <c r="Q54" s="12" t="s">
        <v>80</v>
      </c>
      <c r="R54" s="12" t="s">
        <v>81</v>
      </c>
      <c r="S54" s="12" t="s">
        <v>82</v>
      </c>
      <c r="T54" s="12" t="s">
        <v>83</v>
      </c>
      <c r="U54" s="12" t="s">
        <v>72</v>
      </c>
    </row>
    <row r="55" spans="5:21" x14ac:dyDescent="0.35">
      <c r="E55" s="7" t="s">
        <v>379</v>
      </c>
      <c r="F55" s="7">
        <v>2702374592</v>
      </c>
      <c r="G55" s="7" t="s">
        <v>380</v>
      </c>
      <c r="H55" s="7" t="s">
        <v>381</v>
      </c>
      <c r="I55" s="7" t="s">
        <v>382</v>
      </c>
      <c r="J55" s="7" t="s">
        <v>37</v>
      </c>
      <c r="K55" s="26" t="s">
        <v>158</v>
      </c>
      <c r="L55" s="26" t="s">
        <v>11</v>
      </c>
      <c r="M55" s="7" t="s">
        <v>383</v>
      </c>
      <c r="N55" s="7" t="s">
        <v>54</v>
      </c>
      <c r="O55" s="13" t="s">
        <v>233</v>
      </c>
      <c r="P55" s="13" t="s">
        <v>384</v>
      </c>
      <c r="Q55" s="13" t="s">
        <v>43</v>
      </c>
      <c r="R55" s="17">
        <v>46055</v>
      </c>
      <c r="S55" s="13" t="s">
        <v>45</v>
      </c>
      <c r="T55" s="13" t="s">
        <v>46</v>
      </c>
      <c r="U55" s="13" t="s">
        <v>47</v>
      </c>
    </row>
    <row r="56" spans="5:21" x14ac:dyDescent="0.35">
      <c r="E56" s="7" t="s">
        <v>385</v>
      </c>
      <c r="F56" s="7">
        <v>2702259090</v>
      </c>
      <c r="G56" s="7" t="s">
        <v>386</v>
      </c>
      <c r="H56" s="7" t="s">
        <v>387</v>
      </c>
      <c r="I56" s="7" t="s">
        <v>388</v>
      </c>
      <c r="J56" s="7" t="s">
        <v>37</v>
      </c>
      <c r="K56" s="26" t="s">
        <v>158</v>
      </c>
      <c r="L56" s="26" t="s">
        <v>11</v>
      </c>
      <c r="M56" s="7" t="s">
        <v>389</v>
      </c>
      <c r="N56" s="7" t="s">
        <v>40</v>
      </c>
      <c r="O56" s="8" t="s">
        <v>166</v>
      </c>
      <c r="P56" s="8" t="s">
        <v>56</v>
      </c>
      <c r="Q56" s="8" t="s">
        <v>43</v>
      </c>
      <c r="R56" s="8" t="s">
        <v>167</v>
      </c>
      <c r="S56" s="8" t="s">
        <v>168</v>
      </c>
      <c r="T56" s="8" t="s">
        <v>46</v>
      </c>
      <c r="U56" s="8" t="s">
        <v>47</v>
      </c>
    </row>
    <row r="57" spans="5:21" x14ac:dyDescent="0.35">
      <c r="E57" s="2" t="s">
        <v>390</v>
      </c>
      <c r="F57" s="2">
        <v>2702343523</v>
      </c>
      <c r="G57" s="2" t="s">
        <v>391</v>
      </c>
      <c r="H57" s="2" t="s">
        <v>392</v>
      </c>
      <c r="I57" s="2" t="s">
        <v>393</v>
      </c>
      <c r="J57" s="2" t="s">
        <v>37</v>
      </c>
      <c r="K57" s="29" t="s">
        <v>270</v>
      </c>
      <c r="L57" s="29" t="s">
        <v>5</v>
      </c>
      <c r="M57" s="2" t="s">
        <v>394</v>
      </c>
      <c r="N57" s="2" t="s">
        <v>40</v>
      </c>
      <c r="O57" s="3" t="s">
        <v>107</v>
      </c>
      <c r="P57" s="3" t="s">
        <v>108</v>
      </c>
      <c r="Q57" s="3" t="s">
        <v>109</v>
      </c>
      <c r="R57" s="4">
        <v>46055</v>
      </c>
      <c r="S57" s="3" t="s">
        <v>110</v>
      </c>
      <c r="T57" s="3" t="s">
        <v>46</v>
      </c>
      <c r="U57" s="3" t="s">
        <v>47</v>
      </c>
    </row>
    <row r="58" spans="5:21" x14ac:dyDescent="0.35">
      <c r="E58" s="7" t="s">
        <v>395</v>
      </c>
      <c r="F58" s="7">
        <v>2702328264</v>
      </c>
      <c r="G58" s="7" t="s">
        <v>396</v>
      </c>
      <c r="H58" s="7" t="s">
        <v>397</v>
      </c>
      <c r="I58" s="7" t="s">
        <v>398</v>
      </c>
      <c r="J58" s="7" t="s">
        <v>61</v>
      </c>
      <c r="K58" s="26" t="s">
        <v>62</v>
      </c>
      <c r="L58" s="26" t="s">
        <v>8</v>
      </c>
      <c r="M58" s="7" t="s">
        <v>399</v>
      </c>
      <c r="N58" s="7" t="s">
        <v>54</v>
      </c>
      <c r="O58" s="13" t="s">
        <v>64</v>
      </c>
      <c r="P58" s="13" t="s">
        <v>400</v>
      </c>
      <c r="Q58" s="13" t="s">
        <v>109</v>
      </c>
      <c r="R58" s="17">
        <v>46055</v>
      </c>
      <c r="S58" s="17">
        <v>46061</v>
      </c>
      <c r="T58" s="13" t="s">
        <v>66</v>
      </c>
      <c r="U58" s="13" t="s">
        <v>47</v>
      </c>
    </row>
    <row r="59" spans="5:21" x14ac:dyDescent="0.35">
      <c r="E59" s="7" t="s">
        <v>401</v>
      </c>
      <c r="F59" s="7">
        <v>2702342924</v>
      </c>
      <c r="G59" s="7" t="s">
        <v>402</v>
      </c>
      <c r="H59" s="7" t="s">
        <v>403</v>
      </c>
      <c r="I59" s="7" t="s">
        <v>404</v>
      </c>
      <c r="J59" s="7" t="s">
        <v>37</v>
      </c>
      <c r="K59" s="26" t="s">
        <v>150</v>
      </c>
      <c r="L59" s="26" t="s">
        <v>6</v>
      </c>
      <c r="M59" s="7" t="s">
        <v>405</v>
      </c>
      <c r="N59" s="7" t="s">
        <v>406</v>
      </c>
      <c r="O59" s="8" t="s">
        <v>221</v>
      </c>
      <c r="P59" s="8" t="s">
        <v>222</v>
      </c>
      <c r="Q59" s="8" t="s">
        <v>43</v>
      </c>
      <c r="R59" s="16">
        <v>46055</v>
      </c>
      <c r="S59" s="8" t="s">
        <v>45</v>
      </c>
      <c r="T59" s="8" t="s">
        <v>83</v>
      </c>
      <c r="U59" s="8" t="s">
        <v>47</v>
      </c>
    </row>
    <row r="60" spans="5:21" x14ac:dyDescent="0.35">
      <c r="E60" s="2" t="s">
        <v>407</v>
      </c>
      <c r="F60" s="2">
        <v>2702262072</v>
      </c>
      <c r="G60" s="2" t="s">
        <v>408</v>
      </c>
      <c r="H60" s="2" t="s">
        <v>409</v>
      </c>
      <c r="I60" s="2" t="s">
        <v>410</v>
      </c>
      <c r="J60" s="2" t="s">
        <v>411</v>
      </c>
      <c r="K60" s="23"/>
      <c r="L60" s="23"/>
      <c r="M60" s="2" t="s">
        <v>412</v>
      </c>
      <c r="N60" s="2" t="s">
        <v>40</v>
      </c>
      <c r="O60" s="12" t="s">
        <v>413</v>
      </c>
      <c r="P60" s="12" t="s">
        <v>414</v>
      </c>
      <c r="Q60" s="12" t="s">
        <v>260</v>
      </c>
      <c r="R60" s="12" t="s">
        <v>415</v>
      </c>
      <c r="S60" s="12" t="s">
        <v>416</v>
      </c>
      <c r="T60" s="12" t="s">
        <v>260</v>
      </c>
      <c r="U60" s="12" t="s">
        <v>72</v>
      </c>
    </row>
    <row r="61" spans="5:21" x14ac:dyDescent="0.35">
      <c r="E61" s="7" t="s">
        <v>417</v>
      </c>
      <c r="F61" s="7">
        <v>2702361280</v>
      </c>
      <c r="G61" s="7" t="s">
        <v>418</v>
      </c>
      <c r="H61" s="7" t="s">
        <v>419</v>
      </c>
      <c r="I61" s="7" t="s">
        <v>420</v>
      </c>
      <c r="J61" s="7" t="s">
        <v>411</v>
      </c>
      <c r="K61" s="7"/>
      <c r="L61" s="7"/>
      <c r="M61" s="7" t="s">
        <v>421</v>
      </c>
      <c r="N61" s="7" t="s">
        <v>40</v>
      </c>
      <c r="O61" s="7" t="s">
        <v>422</v>
      </c>
      <c r="P61" s="7" t="s">
        <v>414</v>
      </c>
      <c r="Q61" s="7" t="s">
        <v>260</v>
      </c>
      <c r="R61" s="7" t="s">
        <v>415</v>
      </c>
      <c r="S61" s="7" t="s">
        <v>416</v>
      </c>
      <c r="T61" s="7" t="s">
        <v>260</v>
      </c>
      <c r="U61" s="7" t="s">
        <v>72</v>
      </c>
    </row>
    <row r="62" spans="5:21" x14ac:dyDescent="0.35">
      <c r="E62" s="2" t="s">
        <v>423</v>
      </c>
      <c r="F62" s="2">
        <v>2702223273</v>
      </c>
      <c r="G62" s="2" t="s">
        <v>424</v>
      </c>
      <c r="H62" s="2" t="s">
        <v>425</v>
      </c>
      <c r="I62" s="2" t="s">
        <v>426</v>
      </c>
      <c r="J62" s="2" t="s">
        <v>37</v>
      </c>
      <c r="K62" s="26" t="s">
        <v>270</v>
      </c>
      <c r="L62" s="26" t="s">
        <v>5</v>
      </c>
      <c r="M62" s="2" t="s">
        <v>421</v>
      </c>
      <c r="N62" s="2" t="s">
        <v>40</v>
      </c>
      <c r="O62" s="3" t="s">
        <v>427</v>
      </c>
      <c r="P62" s="3" t="s">
        <v>71</v>
      </c>
      <c r="Q62" s="3" t="s">
        <v>43</v>
      </c>
      <c r="R62" s="4">
        <v>46055</v>
      </c>
      <c r="S62" s="3" t="s">
        <v>45</v>
      </c>
      <c r="T62" s="3" t="s">
        <v>83</v>
      </c>
      <c r="U62" s="3" t="s">
        <v>72</v>
      </c>
    </row>
    <row r="63" spans="5:21" x14ac:dyDescent="0.35">
      <c r="E63" s="2" t="s">
        <v>428</v>
      </c>
      <c r="F63" s="2">
        <v>2702337382</v>
      </c>
      <c r="G63" s="2" t="s">
        <v>429</v>
      </c>
      <c r="H63" s="2" t="s">
        <v>430</v>
      </c>
      <c r="I63" s="2" t="s">
        <v>431</v>
      </c>
      <c r="J63" s="2" t="s">
        <v>257</v>
      </c>
      <c r="K63" s="29" t="s">
        <v>432</v>
      </c>
      <c r="L63" s="29" t="s">
        <v>1</v>
      </c>
      <c r="M63" s="2" t="s">
        <v>433</v>
      </c>
      <c r="N63" s="2" t="s">
        <v>406</v>
      </c>
      <c r="O63" s="2" t="s">
        <v>260</v>
      </c>
      <c r="P63" s="2" t="s">
        <v>260</v>
      </c>
      <c r="Q63" s="2" t="s">
        <v>260</v>
      </c>
      <c r="R63" s="2" t="s">
        <v>260</v>
      </c>
      <c r="S63" s="2" t="s">
        <v>260</v>
      </c>
      <c r="T63" s="2" t="s">
        <v>260</v>
      </c>
      <c r="U63" s="2" t="s">
        <v>72</v>
      </c>
    </row>
    <row r="64" spans="5:21" x14ac:dyDescent="0.35">
      <c r="E64" s="2" t="s">
        <v>434</v>
      </c>
      <c r="F64" s="2">
        <v>2702232971</v>
      </c>
      <c r="G64" s="2" t="s">
        <v>435</v>
      </c>
      <c r="H64" s="2" t="s">
        <v>436</v>
      </c>
      <c r="I64" s="2" t="s">
        <v>437</v>
      </c>
      <c r="J64" s="2" t="s">
        <v>37</v>
      </c>
      <c r="K64" s="26" t="s">
        <v>173</v>
      </c>
      <c r="L64" s="26" t="s">
        <v>7</v>
      </c>
      <c r="M64" s="2" t="s">
        <v>433</v>
      </c>
      <c r="N64" s="2" t="s">
        <v>54</v>
      </c>
      <c r="O64" s="6" t="s">
        <v>310</v>
      </c>
      <c r="P64" s="6" t="s">
        <v>438</v>
      </c>
      <c r="Q64" s="6" t="s">
        <v>43</v>
      </c>
      <c r="R64" s="25">
        <v>46055</v>
      </c>
      <c r="S64" s="6" t="s">
        <v>45</v>
      </c>
      <c r="T64" s="6" t="s">
        <v>46</v>
      </c>
      <c r="U64" s="6" t="s">
        <v>47</v>
      </c>
    </row>
    <row r="65" spans="5:21" x14ac:dyDescent="0.35">
      <c r="E65" s="2" t="s">
        <v>439</v>
      </c>
      <c r="F65" s="2">
        <v>2702361564</v>
      </c>
      <c r="G65" s="2" t="s">
        <v>440</v>
      </c>
      <c r="H65" s="2" t="s">
        <v>441</v>
      </c>
      <c r="I65" s="2" t="s">
        <v>442</v>
      </c>
      <c r="J65" s="2" t="s">
        <v>37</v>
      </c>
      <c r="K65" s="29" t="s">
        <v>77</v>
      </c>
      <c r="L65" s="29" t="s">
        <v>13</v>
      </c>
      <c r="M65" s="2" t="s">
        <v>443</v>
      </c>
      <c r="N65" s="2" t="s">
        <v>40</v>
      </c>
      <c r="O65" s="12" t="s">
        <v>78</v>
      </c>
      <c r="P65" s="12" t="s">
        <v>79</v>
      </c>
      <c r="Q65" s="12" t="s">
        <v>80</v>
      </c>
      <c r="R65" s="12" t="s">
        <v>81</v>
      </c>
      <c r="S65" s="12" t="s">
        <v>82</v>
      </c>
      <c r="T65" s="12" t="s">
        <v>83</v>
      </c>
      <c r="U65" s="12" t="s">
        <v>72</v>
      </c>
    </row>
    <row r="66" spans="5:21" x14ac:dyDescent="0.35">
      <c r="E66" s="2" t="s">
        <v>444</v>
      </c>
      <c r="F66" s="2">
        <v>2702228545</v>
      </c>
      <c r="G66" s="2" t="s">
        <v>445</v>
      </c>
      <c r="H66" s="2" t="s">
        <v>446</v>
      </c>
      <c r="I66" s="2" t="s">
        <v>447</v>
      </c>
      <c r="J66" s="2" t="s">
        <v>37</v>
      </c>
      <c r="K66" s="24" t="s">
        <v>214</v>
      </c>
      <c r="L66" s="23" t="s">
        <v>0</v>
      </c>
      <c r="M66" s="2" t="s">
        <v>448</v>
      </c>
      <c r="N66" s="2" t="s">
        <v>40</v>
      </c>
      <c r="O66" s="3" t="s">
        <v>107</v>
      </c>
      <c r="P66" s="3" t="s">
        <v>108</v>
      </c>
      <c r="Q66" s="3" t="s">
        <v>109</v>
      </c>
      <c r="R66" s="4">
        <v>46055</v>
      </c>
      <c r="S66" s="3" t="s">
        <v>110</v>
      </c>
      <c r="T66" s="3" t="s">
        <v>46</v>
      </c>
      <c r="U66" s="3" t="s">
        <v>47</v>
      </c>
    </row>
    <row r="67" spans="5:21" x14ac:dyDescent="0.35">
      <c r="E67" s="2" t="s">
        <v>449</v>
      </c>
      <c r="F67" s="2">
        <v>2702361583</v>
      </c>
      <c r="G67" s="2" t="s">
        <v>450</v>
      </c>
      <c r="H67" s="2" t="s">
        <v>451</v>
      </c>
      <c r="I67" s="2" t="s">
        <v>452</v>
      </c>
      <c r="J67" s="2" t="s">
        <v>37</v>
      </c>
      <c r="K67" s="29" t="s">
        <v>38</v>
      </c>
      <c r="L67" s="29" t="s">
        <v>12</v>
      </c>
      <c r="M67" s="2" t="s">
        <v>448</v>
      </c>
      <c r="N67" s="2" t="s">
        <v>40</v>
      </c>
      <c r="O67" s="2" t="s">
        <v>366</v>
      </c>
      <c r="P67" s="2" t="s">
        <v>367</v>
      </c>
      <c r="Q67" s="2" t="s">
        <v>43</v>
      </c>
      <c r="R67" s="2" t="s">
        <v>368</v>
      </c>
      <c r="S67" s="2" t="s">
        <v>369</v>
      </c>
      <c r="T67" s="2" t="s">
        <v>46</v>
      </c>
      <c r="U67" s="2" t="s">
        <v>72</v>
      </c>
    </row>
    <row r="68" spans="5:21" x14ac:dyDescent="0.35">
      <c r="E68" s="2" t="s">
        <v>453</v>
      </c>
      <c r="F68" s="2">
        <v>2702341871</v>
      </c>
      <c r="G68" s="2" t="s">
        <v>454</v>
      </c>
      <c r="H68" s="2" t="s">
        <v>455</v>
      </c>
      <c r="I68" s="2" t="s">
        <v>456</v>
      </c>
      <c r="J68" s="2" t="s">
        <v>37</v>
      </c>
      <c r="K68" s="29" t="s">
        <v>132</v>
      </c>
      <c r="L68" s="29" t="s">
        <v>9</v>
      </c>
      <c r="M68" s="2" t="s">
        <v>448</v>
      </c>
      <c r="N68" s="2" t="s">
        <v>40</v>
      </c>
      <c r="O68" s="6" t="s">
        <v>457</v>
      </c>
      <c r="P68" s="6" t="s">
        <v>326</v>
      </c>
      <c r="Q68" s="6" t="s">
        <v>43</v>
      </c>
      <c r="R68" s="25">
        <v>46055</v>
      </c>
      <c r="S68" s="6" t="s">
        <v>45</v>
      </c>
      <c r="T68" s="6" t="s">
        <v>46</v>
      </c>
      <c r="U68" s="6" t="s">
        <v>47</v>
      </c>
    </row>
    <row r="69" spans="5:21" x14ac:dyDescent="0.35">
      <c r="E69" s="7" t="s">
        <v>458</v>
      </c>
      <c r="F69" s="7">
        <v>2702260306</v>
      </c>
      <c r="G69" s="7" t="s">
        <v>459</v>
      </c>
      <c r="H69" s="7" t="s">
        <v>460</v>
      </c>
      <c r="I69" s="7" t="s">
        <v>461</v>
      </c>
      <c r="J69" s="7" t="s">
        <v>257</v>
      </c>
      <c r="K69" s="29" t="s">
        <v>297</v>
      </c>
      <c r="L69" s="29" t="s">
        <v>3</v>
      </c>
      <c r="M69" s="7" t="s">
        <v>462</v>
      </c>
      <c r="N69" s="7" t="s">
        <v>54</v>
      </c>
      <c r="O69" s="11" t="s">
        <v>260</v>
      </c>
      <c r="P69" s="11" t="s">
        <v>260</v>
      </c>
      <c r="Q69" s="11" t="s">
        <v>260</v>
      </c>
      <c r="R69" s="11" t="s">
        <v>260</v>
      </c>
      <c r="S69" s="11" t="s">
        <v>260</v>
      </c>
      <c r="T69" s="11" t="s">
        <v>260</v>
      </c>
      <c r="U69" s="11" t="s">
        <v>72</v>
      </c>
    </row>
    <row r="70" spans="5:21" x14ac:dyDescent="0.35">
      <c r="E70" s="2" t="s">
        <v>463</v>
      </c>
      <c r="F70" s="2">
        <v>2702228242</v>
      </c>
      <c r="G70" s="2" t="s">
        <v>464</v>
      </c>
      <c r="H70" s="2" t="s">
        <v>465</v>
      </c>
      <c r="I70" s="2" t="s">
        <v>466</v>
      </c>
      <c r="J70" s="2" t="s">
        <v>37</v>
      </c>
      <c r="K70" s="26" t="s">
        <v>158</v>
      </c>
      <c r="L70" s="26" t="s">
        <v>11</v>
      </c>
      <c r="M70" s="2" t="s">
        <v>462</v>
      </c>
      <c r="N70" s="2" t="s">
        <v>40</v>
      </c>
      <c r="O70" s="19" t="s">
        <v>107</v>
      </c>
      <c r="P70" s="19" t="s">
        <v>108</v>
      </c>
      <c r="Q70" s="19" t="s">
        <v>109</v>
      </c>
      <c r="R70" s="20">
        <v>46055</v>
      </c>
      <c r="S70" s="19" t="s">
        <v>110</v>
      </c>
      <c r="T70" s="19" t="s">
        <v>46</v>
      </c>
      <c r="U70" s="19" t="s">
        <v>47</v>
      </c>
    </row>
    <row r="71" spans="5:21" x14ac:dyDescent="0.35">
      <c r="E71" s="2" t="s">
        <v>467</v>
      </c>
      <c r="F71" s="2">
        <v>2702234491</v>
      </c>
      <c r="G71" s="2" t="s">
        <v>468</v>
      </c>
      <c r="H71" s="2" t="s">
        <v>469</v>
      </c>
      <c r="I71" s="2" t="s">
        <v>470</v>
      </c>
      <c r="J71" s="2" t="s">
        <v>257</v>
      </c>
      <c r="K71" s="29" t="s">
        <v>432</v>
      </c>
      <c r="L71" s="29" t="s">
        <v>1</v>
      </c>
      <c r="M71" s="2" t="s">
        <v>471</v>
      </c>
      <c r="N71" s="2" t="s">
        <v>54</v>
      </c>
      <c r="O71" s="2" t="s">
        <v>260</v>
      </c>
      <c r="P71" s="2" t="s">
        <v>260</v>
      </c>
      <c r="Q71" s="2" t="s">
        <v>260</v>
      </c>
      <c r="R71" s="2" t="s">
        <v>260</v>
      </c>
      <c r="S71" s="2" t="s">
        <v>260</v>
      </c>
      <c r="T71" s="2" t="s">
        <v>260</v>
      </c>
      <c r="U71" s="2" t="s">
        <v>72</v>
      </c>
    </row>
    <row r="72" spans="5:21" x14ac:dyDescent="0.35">
      <c r="E72" s="2" t="s">
        <v>472</v>
      </c>
      <c r="F72" s="2">
        <v>2702260262</v>
      </c>
      <c r="G72" s="2" t="s">
        <v>473</v>
      </c>
      <c r="H72" s="2" t="s">
        <v>474</v>
      </c>
      <c r="I72" s="2" t="s">
        <v>475</v>
      </c>
      <c r="J72" s="2" t="s">
        <v>61</v>
      </c>
      <c r="K72" s="26" t="s">
        <v>62</v>
      </c>
      <c r="L72" s="26" t="s">
        <v>8</v>
      </c>
      <c r="M72" s="2" t="s">
        <v>471</v>
      </c>
      <c r="N72" s="2" t="s">
        <v>40</v>
      </c>
      <c r="O72" s="3" t="s">
        <v>64</v>
      </c>
      <c r="P72" s="3" t="s">
        <v>476</v>
      </c>
      <c r="Q72" s="3" t="s">
        <v>109</v>
      </c>
      <c r="R72" s="4">
        <v>46055</v>
      </c>
      <c r="S72" s="4">
        <v>46061</v>
      </c>
      <c r="T72" s="3" t="s">
        <v>66</v>
      </c>
      <c r="U72" s="3" t="s">
        <v>47</v>
      </c>
    </row>
    <row r="73" spans="5:21" x14ac:dyDescent="0.35">
      <c r="E73" s="2" t="s">
        <v>477</v>
      </c>
      <c r="F73" s="2">
        <v>2702262601</v>
      </c>
      <c r="G73" s="2" t="s">
        <v>478</v>
      </c>
      <c r="H73" s="2" t="s">
        <v>479</v>
      </c>
      <c r="I73" s="2" t="s">
        <v>480</v>
      </c>
      <c r="J73" s="2" t="s">
        <v>37</v>
      </c>
      <c r="K73" s="26" t="s">
        <v>173</v>
      </c>
      <c r="L73" s="26" t="s">
        <v>7</v>
      </c>
      <c r="M73" s="2" t="s">
        <v>471</v>
      </c>
      <c r="N73" s="2" t="s">
        <v>54</v>
      </c>
      <c r="O73" s="6" t="s">
        <v>481</v>
      </c>
      <c r="P73" s="6" t="s">
        <v>482</v>
      </c>
      <c r="Q73" s="6" t="s">
        <v>109</v>
      </c>
      <c r="R73" s="25">
        <v>46055</v>
      </c>
      <c r="S73" s="25">
        <v>46061</v>
      </c>
      <c r="T73" s="6" t="s">
        <v>46</v>
      </c>
      <c r="U73" s="6" t="s">
        <v>47</v>
      </c>
    </row>
    <row r="74" spans="5:21" x14ac:dyDescent="0.35">
      <c r="E74" s="2" t="s">
        <v>483</v>
      </c>
      <c r="F74" s="2">
        <v>2702262066</v>
      </c>
      <c r="G74" s="2" t="s">
        <v>484</v>
      </c>
      <c r="H74" s="2" t="s">
        <v>485</v>
      </c>
      <c r="I74" s="2" t="s">
        <v>486</v>
      </c>
      <c r="J74" s="2" t="s">
        <v>37</v>
      </c>
      <c r="K74" s="26" t="s">
        <v>173</v>
      </c>
      <c r="L74" s="26" t="s">
        <v>7</v>
      </c>
      <c r="M74" s="2" t="s">
        <v>487</v>
      </c>
      <c r="N74" s="2" t="s">
        <v>40</v>
      </c>
      <c r="O74" s="2" t="s">
        <v>488</v>
      </c>
      <c r="P74" s="2" t="s">
        <v>482</v>
      </c>
      <c r="Q74" s="2" t="s">
        <v>43</v>
      </c>
      <c r="R74" s="2" t="s">
        <v>44</v>
      </c>
      <c r="S74" s="2" t="s">
        <v>45</v>
      </c>
      <c r="T74" s="2" t="s">
        <v>46</v>
      </c>
      <c r="U74" s="2" t="s">
        <v>47</v>
      </c>
    </row>
    <row r="75" spans="5:21" x14ac:dyDescent="0.35">
      <c r="E75" s="2" t="s">
        <v>489</v>
      </c>
      <c r="F75" s="2">
        <v>2702275535</v>
      </c>
      <c r="G75" s="2" t="s">
        <v>490</v>
      </c>
      <c r="H75" s="2" t="s">
        <v>491</v>
      </c>
      <c r="I75" s="2" t="s">
        <v>492</v>
      </c>
      <c r="J75" s="2" t="s">
        <v>37</v>
      </c>
      <c r="K75" s="29" t="s">
        <v>38</v>
      </c>
      <c r="L75" s="29" t="s">
        <v>12</v>
      </c>
      <c r="M75" s="2" t="s">
        <v>493</v>
      </c>
      <c r="N75" s="2" t="s">
        <v>40</v>
      </c>
      <c r="O75" s="3" t="s">
        <v>366</v>
      </c>
      <c r="P75" s="3" t="s">
        <v>56</v>
      </c>
      <c r="Q75" s="3" t="s">
        <v>43</v>
      </c>
      <c r="R75" s="4">
        <v>46055</v>
      </c>
      <c r="S75" s="3" t="s">
        <v>45</v>
      </c>
      <c r="T75" s="3" t="s">
        <v>46</v>
      </c>
      <c r="U75" s="3" t="s">
        <v>47</v>
      </c>
    </row>
    <row r="76" spans="5:21" x14ac:dyDescent="0.35">
      <c r="E76" s="7" t="s">
        <v>494</v>
      </c>
      <c r="F76" s="7">
        <v>2702280043</v>
      </c>
      <c r="G76" s="7" t="s">
        <v>495</v>
      </c>
      <c r="H76" s="7" t="s">
        <v>496</v>
      </c>
      <c r="I76" s="7" t="s">
        <v>497</v>
      </c>
      <c r="J76" s="7" t="s">
        <v>37</v>
      </c>
      <c r="K76" s="26" t="s">
        <v>297</v>
      </c>
      <c r="L76" s="26" t="s">
        <v>3</v>
      </c>
      <c r="M76" s="7" t="s">
        <v>498</v>
      </c>
      <c r="N76" s="7" t="s">
        <v>40</v>
      </c>
      <c r="O76" s="13" t="s">
        <v>499</v>
      </c>
      <c r="P76" s="13" t="s">
        <v>108</v>
      </c>
      <c r="Q76" s="13" t="s">
        <v>43</v>
      </c>
      <c r="R76" s="17">
        <v>46055</v>
      </c>
      <c r="S76" s="17">
        <v>46420</v>
      </c>
      <c r="T76" s="13" t="s">
        <v>46</v>
      </c>
      <c r="U76" s="13" t="s">
        <v>47</v>
      </c>
    </row>
    <row r="77" spans="5:21" x14ac:dyDescent="0.35">
      <c r="E77" s="2" t="s">
        <v>500</v>
      </c>
      <c r="F77" s="2">
        <v>2702296016</v>
      </c>
      <c r="G77" s="2" t="s">
        <v>501</v>
      </c>
      <c r="H77" s="2" t="s">
        <v>502</v>
      </c>
      <c r="I77" s="2" t="s">
        <v>503</v>
      </c>
      <c r="J77" s="2" t="s">
        <v>37</v>
      </c>
      <c r="K77" s="29" t="s">
        <v>77</v>
      </c>
      <c r="L77" s="29" t="s">
        <v>13</v>
      </c>
      <c r="M77" s="2" t="s">
        <v>504</v>
      </c>
      <c r="N77" s="2" t="s">
        <v>54</v>
      </c>
      <c r="O77" s="12" t="s">
        <v>78</v>
      </c>
      <c r="P77" s="12" t="s">
        <v>79</v>
      </c>
      <c r="Q77" s="12" t="s">
        <v>80</v>
      </c>
      <c r="R77" s="12" t="s">
        <v>81</v>
      </c>
      <c r="S77" s="12" t="s">
        <v>82</v>
      </c>
      <c r="T77" s="12" t="s">
        <v>83</v>
      </c>
      <c r="U77" s="12" t="s">
        <v>72</v>
      </c>
    </row>
    <row r="78" spans="5:21" x14ac:dyDescent="0.35">
      <c r="E78" s="7" t="s">
        <v>505</v>
      </c>
      <c r="F78" s="7">
        <v>2702228873</v>
      </c>
      <c r="G78" s="7" t="s">
        <v>506</v>
      </c>
      <c r="H78" s="7" t="s">
        <v>507</v>
      </c>
      <c r="I78" s="7" t="s">
        <v>508</v>
      </c>
      <c r="J78" s="7" t="s">
        <v>257</v>
      </c>
      <c r="K78" s="29" t="s">
        <v>432</v>
      </c>
      <c r="L78" s="29" t="s">
        <v>1</v>
      </c>
      <c r="M78" s="7" t="s">
        <v>509</v>
      </c>
      <c r="N78" s="7" t="s">
        <v>406</v>
      </c>
      <c r="O78" s="7" t="s">
        <v>260</v>
      </c>
      <c r="P78" s="7" t="s">
        <v>260</v>
      </c>
      <c r="Q78" s="7" t="s">
        <v>260</v>
      </c>
      <c r="R78" s="7" t="s">
        <v>260</v>
      </c>
      <c r="S78" s="7" t="s">
        <v>260</v>
      </c>
      <c r="T78" s="7" t="s">
        <v>260</v>
      </c>
      <c r="U78" s="7" t="s">
        <v>72</v>
      </c>
    </row>
    <row r="79" spans="5:21" x14ac:dyDescent="0.35">
      <c r="E79" s="2" t="s">
        <v>510</v>
      </c>
      <c r="F79" s="2">
        <v>2702379100</v>
      </c>
      <c r="G79" s="2" t="s">
        <v>511</v>
      </c>
      <c r="H79" s="2" t="s">
        <v>512</v>
      </c>
      <c r="I79" s="2" t="s">
        <v>513</v>
      </c>
      <c r="J79" s="2" t="s">
        <v>257</v>
      </c>
      <c r="K79" s="29" t="s">
        <v>297</v>
      </c>
      <c r="L79" s="29" t="s">
        <v>3</v>
      </c>
      <c r="M79" s="2" t="s">
        <v>509</v>
      </c>
      <c r="N79" s="2" t="s">
        <v>54</v>
      </c>
      <c r="O79" s="2" t="s">
        <v>260</v>
      </c>
      <c r="P79" s="2" t="s">
        <v>260</v>
      </c>
      <c r="Q79" s="2" t="s">
        <v>260</v>
      </c>
      <c r="R79" s="2" t="s">
        <v>260</v>
      </c>
      <c r="S79" s="2" t="s">
        <v>260</v>
      </c>
      <c r="T79" s="2" t="s">
        <v>260</v>
      </c>
      <c r="U79" s="2" t="s">
        <v>72</v>
      </c>
    </row>
    <row r="80" spans="5:21" x14ac:dyDescent="0.35">
      <c r="E80" s="2" t="s">
        <v>514</v>
      </c>
      <c r="F80" s="2">
        <v>2702352383</v>
      </c>
      <c r="G80" s="2" t="s">
        <v>515</v>
      </c>
      <c r="H80" s="2" t="s">
        <v>516</v>
      </c>
      <c r="I80" s="2" t="s">
        <v>517</v>
      </c>
      <c r="J80" s="2" t="s">
        <v>37</v>
      </c>
      <c r="K80" s="23" t="s">
        <v>214</v>
      </c>
      <c r="L80" s="23" t="s">
        <v>0</v>
      </c>
      <c r="M80" s="2" t="s">
        <v>509</v>
      </c>
      <c r="N80" s="2" t="s">
        <v>40</v>
      </c>
      <c r="O80" s="3" t="s">
        <v>107</v>
      </c>
      <c r="P80" s="3" t="s">
        <v>108</v>
      </c>
      <c r="Q80" s="3" t="s">
        <v>109</v>
      </c>
      <c r="R80" s="4">
        <v>46055</v>
      </c>
      <c r="S80" s="3" t="s">
        <v>110</v>
      </c>
      <c r="T80" s="3" t="s">
        <v>46</v>
      </c>
      <c r="U80" s="3" t="s">
        <v>47</v>
      </c>
    </row>
    <row r="81" spans="5:21" x14ac:dyDescent="0.35">
      <c r="E81" s="7" t="s">
        <v>518</v>
      </c>
      <c r="F81" s="7">
        <v>2702324202</v>
      </c>
      <c r="G81" s="7" t="s">
        <v>519</v>
      </c>
      <c r="H81" s="7" t="s">
        <v>520</v>
      </c>
      <c r="I81" s="7" t="s">
        <v>521</v>
      </c>
      <c r="J81" s="7" t="s">
        <v>61</v>
      </c>
      <c r="K81" s="29" t="s">
        <v>62</v>
      </c>
      <c r="L81" s="29" t="s">
        <v>8</v>
      </c>
      <c r="M81" s="7" t="s">
        <v>522</v>
      </c>
      <c r="N81" s="7" t="s">
        <v>54</v>
      </c>
      <c r="O81" s="14" t="s">
        <v>64</v>
      </c>
      <c r="P81" s="14" t="s">
        <v>65</v>
      </c>
      <c r="Q81" s="14" t="s">
        <v>43</v>
      </c>
      <c r="R81" s="15">
        <v>46055</v>
      </c>
      <c r="S81" s="15">
        <v>46420</v>
      </c>
      <c r="T81" s="14" t="s">
        <v>66</v>
      </c>
      <c r="U81" s="14" t="s">
        <v>47</v>
      </c>
    </row>
    <row r="82" spans="5:21" x14ac:dyDescent="0.35">
      <c r="E82" s="2" t="s">
        <v>523</v>
      </c>
      <c r="F82" s="2">
        <v>2702374535</v>
      </c>
      <c r="G82" s="2" t="s">
        <v>524</v>
      </c>
      <c r="H82" s="2" t="s">
        <v>525</v>
      </c>
      <c r="I82" s="2" t="s">
        <v>526</v>
      </c>
      <c r="J82" s="2" t="s">
        <v>61</v>
      </c>
      <c r="K82" s="29" t="s">
        <v>62</v>
      </c>
      <c r="L82" s="29" t="s">
        <v>8</v>
      </c>
      <c r="M82" s="2" t="s">
        <v>527</v>
      </c>
      <c r="N82" s="2" t="s">
        <v>54</v>
      </c>
      <c r="O82" s="3" t="s">
        <v>64</v>
      </c>
      <c r="P82" s="3" t="s">
        <v>476</v>
      </c>
      <c r="Q82" s="3" t="s">
        <v>109</v>
      </c>
      <c r="R82" s="4">
        <v>46055</v>
      </c>
      <c r="S82" s="4">
        <v>46061</v>
      </c>
      <c r="T82" s="3" t="s">
        <v>66</v>
      </c>
      <c r="U82" s="3" t="s">
        <v>47</v>
      </c>
    </row>
    <row r="83" spans="5:21" x14ac:dyDescent="0.35">
      <c r="E83" s="7" t="s">
        <v>528</v>
      </c>
      <c r="F83" s="7">
        <v>2702328043</v>
      </c>
      <c r="G83" s="7" t="s">
        <v>529</v>
      </c>
      <c r="H83" s="7" t="s">
        <v>530</v>
      </c>
      <c r="I83" s="7" t="s">
        <v>531</v>
      </c>
      <c r="J83" s="7" t="s">
        <v>37</v>
      </c>
      <c r="K83" s="26" t="s">
        <v>158</v>
      </c>
      <c r="L83" s="26" t="s">
        <v>11</v>
      </c>
      <c r="M83" s="7" t="s">
        <v>527</v>
      </c>
      <c r="N83" s="7" t="s">
        <v>40</v>
      </c>
      <c r="O83" s="9" t="s">
        <v>532</v>
      </c>
      <c r="P83" s="9" t="s">
        <v>533</v>
      </c>
      <c r="Q83" s="9" t="s">
        <v>43</v>
      </c>
      <c r="R83" s="10">
        <v>46055</v>
      </c>
      <c r="S83" s="9" t="s">
        <v>45</v>
      </c>
      <c r="T83" s="9" t="s">
        <v>46</v>
      </c>
      <c r="U83" s="9" t="s">
        <v>47</v>
      </c>
    </row>
    <row r="84" spans="5:21" x14ac:dyDescent="0.35">
      <c r="E84" s="2" t="s">
        <v>534</v>
      </c>
      <c r="F84" s="2">
        <v>2702339835</v>
      </c>
      <c r="G84" s="2" t="s">
        <v>535</v>
      </c>
      <c r="H84" s="2" t="s">
        <v>536</v>
      </c>
      <c r="I84" s="2" t="s">
        <v>537</v>
      </c>
      <c r="J84" s="2" t="s">
        <v>37</v>
      </c>
      <c r="K84" s="29" t="s">
        <v>132</v>
      </c>
      <c r="L84" s="29" t="s">
        <v>9</v>
      </c>
      <c r="M84" s="2" t="s">
        <v>538</v>
      </c>
      <c r="N84" s="2" t="s">
        <v>40</v>
      </c>
      <c r="O84" s="12" t="s">
        <v>332</v>
      </c>
      <c r="P84" s="12" t="s">
        <v>56</v>
      </c>
      <c r="Q84" s="12" t="s">
        <v>43</v>
      </c>
      <c r="R84" s="12" t="s">
        <v>44</v>
      </c>
      <c r="S84" s="12" t="s">
        <v>45</v>
      </c>
      <c r="T84" s="12" t="s">
        <v>83</v>
      </c>
      <c r="U84" s="12" t="s">
        <v>47</v>
      </c>
    </row>
    <row r="85" spans="5:21" x14ac:dyDescent="0.35">
      <c r="E85" s="7" t="s">
        <v>539</v>
      </c>
      <c r="F85" s="7">
        <v>2702232050</v>
      </c>
      <c r="G85" s="7" t="s">
        <v>540</v>
      </c>
      <c r="H85" s="7" t="s">
        <v>541</v>
      </c>
      <c r="I85" s="7" t="s">
        <v>542</v>
      </c>
      <c r="J85" s="7" t="s">
        <v>37</v>
      </c>
      <c r="K85" s="29" t="s">
        <v>38</v>
      </c>
      <c r="L85" s="29" t="s">
        <v>12</v>
      </c>
      <c r="M85" s="7" t="s">
        <v>538</v>
      </c>
      <c r="N85" s="7" t="s">
        <v>40</v>
      </c>
      <c r="O85" s="8" t="s">
        <v>543</v>
      </c>
      <c r="P85" s="8" t="s">
        <v>544</v>
      </c>
      <c r="Q85" s="8" t="s">
        <v>43</v>
      </c>
      <c r="R85" s="16">
        <v>46055</v>
      </c>
      <c r="S85" s="8" t="s">
        <v>45</v>
      </c>
      <c r="T85" s="8" t="s">
        <v>46</v>
      </c>
      <c r="U85" s="8" t="s">
        <v>47</v>
      </c>
    </row>
    <row r="86" spans="5:21" x14ac:dyDescent="0.35">
      <c r="E86" s="2" t="s">
        <v>545</v>
      </c>
      <c r="F86" s="2">
        <v>2702250053</v>
      </c>
      <c r="G86" s="2" t="s">
        <v>546</v>
      </c>
      <c r="H86" s="2" t="s">
        <v>547</v>
      </c>
      <c r="I86" s="2" t="s">
        <v>548</v>
      </c>
      <c r="J86" s="2" t="s">
        <v>37</v>
      </c>
      <c r="K86" s="26" t="s">
        <v>105</v>
      </c>
      <c r="L86" s="26" t="s">
        <v>4</v>
      </c>
      <c r="M86" s="2" t="s">
        <v>549</v>
      </c>
      <c r="N86" s="2" t="s">
        <v>54</v>
      </c>
      <c r="O86" s="3" t="s">
        <v>107</v>
      </c>
      <c r="P86" s="3" t="s">
        <v>108</v>
      </c>
      <c r="Q86" s="3" t="s">
        <v>109</v>
      </c>
      <c r="R86" s="4">
        <v>46055</v>
      </c>
      <c r="S86" s="3" t="s">
        <v>110</v>
      </c>
      <c r="T86" s="3" t="s">
        <v>46</v>
      </c>
      <c r="U86" s="3" t="s">
        <v>72</v>
      </c>
    </row>
    <row r="87" spans="5:21" x14ac:dyDescent="0.35">
      <c r="E87" s="2" t="s">
        <v>550</v>
      </c>
      <c r="F87" s="2">
        <v>2702260382</v>
      </c>
      <c r="G87" s="2" t="s">
        <v>551</v>
      </c>
      <c r="H87" s="2" t="s">
        <v>552</v>
      </c>
      <c r="I87" s="2" t="s">
        <v>553</v>
      </c>
      <c r="J87" s="2" t="s">
        <v>37</v>
      </c>
      <c r="K87" s="26" t="s">
        <v>150</v>
      </c>
      <c r="L87" s="26" t="s">
        <v>6</v>
      </c>
      <c r="M87" s="2" t="s">
        <v>549</v>
      </c>
      <c r="N87" s="2" t="s">
        <v>40</v>
      </c>
      <c r="O87" s="6" t="s">
        <v>554</v>
      </c>
      <c r="P87" s="6" t="s">
        <v>438</v>
      </c>
      <c r="Q87" s="6" t="s">
        <v>43</v>
      </c>
      <c r="R87" s="25">
        <v>46055</v>
      </c>
      <c r="S87" s="25">
        <v>46420</v>
      </c>
      <c r="T87" s="6" t="s">
        <v>46</v>
      </c>
      <c r="U87" s="6" t="s">
        <v>72</v>
      </c>
    </row>
    <row r="88" spans="5:21" x14ac:dyDescent="0.35">
      <c r="E88" s="2" t="s">
        <v>555</v>
      </c>
      <c r="F88" s="2">
        <v>2702279621</v>
      </c>
      <c r="G88" s="2" t="s">
        <v>556</v>
      </c>
      <c r="H88" s="2" t="s">
        <v>557</v>
      </c>
      <c r="I88" s="2" t="s">
        <v>558</v>
      </c>
      <c r="J88" s="2" t="s">
        <v>61</v>
      </c>
      <c r="K88" s="29" t="s">
        <v>62</v>
      </c>
      <c r="L88" s="29" t="s">
        <v>8</v>
      </c>
      <c r="M88" s="2" t="s">
        <v>559</v>
      </c>
      <c r="N88" s="2" t="s">
        <v>40</v>
      </c>
      <c r="O88" s="19" t="s">
        <v>64</v>
      </c>
      <c r="P88" s="19" t="s">
        <v>476</v>
      </c>
      <c r="Q88" s="19" t="s">
        <v>109</v>
      </c>
      <c r="R88" s="20">
        <v>46055</v>
      </c>
      <c r="S88" s="20">
        <v>46061</v>
      </c>
      <c r="T88" s="19" t="s">
        <v>66</v>
      </c>
      <c r="U88" s="19" t="s">
        <v>47</v>
      </c>
    </row>
    <row r="89" spans="5:21" x14ac:dyDescent="0.35">
      <c r="E89" s="2" t="s">
        <v>560</v>
      </c>
      <c r="F89" s="2">
        <v>2702262564</v>
      </c>
      <c r="G89" s="2" t="s">
        <v>561</v>
      </c>
      <c r="H89" s="2" t="s">
        <v>562</v>
      </c>
      <c r="I89" s="2" t="s">
        <v>563</v>
      </c>
      <c r="J89" s="2" t="s">
        <v>37</v>
      </c>
      <c r="K89" s="7" t="s">
        <v>214</v>
      </c>
      <c r="L89" s="2" t="s">
        <v>0</v>
      </c>
      <c r="M89" s="2" t="s">
        <v>564</v>
      </c>
      <c r="N89" s="2" t="s">
        <v>40</v>
      </c>
      <c r="O89" s="3" t="s">
        <v>107</v>
      </c>
      <c r="P89" s="3" t="s">
        <v>108</v>
      </c>
      <c r="Q89" s="3" t="s">
        <v>109</v>
      </c>
      <c r="R89" s="4">
        <v>46055</v>
      </c>
      <c r="S89" s="3" t="s">
        <v>110</v>
      </c>
      <c r="T89" s="3" t="s">
        <v>46</v>
      </c>
      <c r="U89" s="3" t="s">
        <v>47</v>
      </c>
    </row>
    <row r="90" spans="5:21" x14ac:dyDescent="0.35">
      <c r="E90" s="7" t="s">
        <v>565</v>
      </c>
      <c r="F90" s="7">
        <v>2702230966</v>
      </c>
      <c r="G90" s="7" t="s">
        <v>566</v>
      </c>
      <c r="H90" s="7" t="s">
        <v>567</v>
      </c>
      <c r="I90" s="7" t="s">
        <v>568</v>
      </c>
      <c r="J90" s="7" t="s">
        <v>37</v>
      </c>
      <c r="K90" s="26" t="s">
        <v>258</v>
      </c>
      <c r="L90" s="26" t="s">
        <v>10</v>
      </c>
      <c r="M90" s="7" t="s">
        <v>569</v>
      </c>
      <c r="N90" s="7" t="s">
        <v>54</v>
      </c>
      <c r="O90" s="13" t="s">
        <v>107</v>
      </c>
      <c r="P90" s="13" t="s">
        <v>108</v>
      </c>
      <c r="Q90" s="13" t="s">
        <v>109</v>
      </c>
      <c r="R90" s="17">
        <v>46055</v>
      </c>
      <c r="S90" s="13" t="s">
        <v>110</v>
      </c>
      <c r="T90" s="13" t="s">
        <v>46</v>
      </c>
      <c r="U90" s="13" t="s">
        <v>47</v>
      </c>
    </row>
    <row r="91" spans="5:21" x14ac:dyDescent="0.35">
      <c r="E91" s="2" t="s">
        <v>570</v>
      </c>
      <c r="F91" s="2">
        <v>2702314460</v>
      </c>
      <c r="G91" s="2" t="s">
        <v>571</v>
      </c>
      <c r="H91" s="2" t="s">
        <v>572</v>
      </c>
      <c r="I91" s="2" t="s">
        <v>573</v>
      </c>
      <c r="J91" s="2" t="s">
        <v>257</v>
      </c>
      <c r="K91" s="26" t="s">
        <v>297</v>
      </c>
      <c r="L91" s="26" t="s">
        <v>3</v>
      </c>
      <c r="M91" s="2" t="s">
        <v>574</v>
      </c>
      <c r="N91" s="2" t="s">
        <v>54</v>
      </c>
      <c r="O91" s="12" t="s">
        <v>260</v>
      </c>
      <c r="P91" s="12" t="s">
        <v>260</v>
      </c>
      <c r="Q91" s="12" t="s">
        <v>260</v>
      </c>
      <c r="R91" s="12" t="s">
        <v>260</v>
      </c>
      <c r="S91" s="12" t="s">
        <v>260</v>
      </c>
      <c r="T91" s="12" t="s">
        <v>260</v>
      </c>
      <c r="U91" s="12" t="s">
        <v>72</v>
      </c>
    </row>
    <row r="92" spans="5:21" x14ac:dyDescent="0.35">
      <c r="E92" s="7" t="s">
        <v>575</v>
      </c>
      <c r="F92" s="7">
        <v>2702379132</v>
      </c>
      <c r="G92" s="7" t="s">
        <v>576</v>
      </c>
      <c r="H92" s="7" t="s">
        <v>577</v>
      </c>
      <c r="I92" s="7" t="s">
        <v>578</v>
      </c>
      <c r="J92" s="7" t="s">
        <v>37</v>
      </c>
      <c r="K92" s="26" t="s">
        <v>77</v>
      </c>
      <c r="L92" s="26" t="s">
        <v>13</v>
      </c>
      <c r="M92" s="7" t="s">
        <v>574</v>
      </c>
      <c r="N92" s="7" t="s">
        <v>40</v>
      </c>
      <c r="O92" s="14" t="s">
        <v>107</v>
      </c>
      <c r="P92" s="14" t="s">
        <v>108</v>
      </c>
      <c r="Q92" s="14" t="s">
        <v>109</v>
      </c>
      <c r="R92" s="15">
        <v>46055</v>
      </c>
      <c r="S92" s="14" t="s">
        <v>110</v>
      </c>
      <c r="T92" s="14" t="s">
        <v>46</v>
      </c>
      <c r="U92" s="14" t="s">
        <v>47</v>
      </c>
    </row>
    <row r="93" spans="5:21" x14ac:dyDescent="0.35">
      <c r="E93" s="2" t="s">
        <v>579</v>
      </c>
      <c r="F93" s="2">
        <v>2702359793</v>
      </c>
      <c r="G93" s="2" t="s">
        <v>580</v>
      </c>
      <c r="H93" s="2" t="s">
        <v>581</v>
      </c>
      <c r="I93" s="2" t="s">
        <v>582</v>
      </c>
      <c r="J93" s="2" t="s">
        <v>37</v>
      </c>
      <c r="K93" s="26" t="s">
        <v>105</v>
      </c>
      <c r="L93" s="26" t="s">
        <v>4</v>
      </c>
      <c r="M93" s="2" t="s">
        <v>574</v>
      </c>
      <c r="N93" s="2" t="s">
        <v>40</v>
      </c>
      <c r="O93" s="2" t="s">
        <v>583</v>
      </c>
      <c r="P93" s="2" t="s">
        <v>71</v>
      </c>
      <c r="Q93" s="2" t="s">
        <v>43</v>
      </c>
      <c r="R93" s="2" t="s">
        <v>44</v>
      </c>
      <c r="S93" s="2" t="s">
        <v>45</v>
      </c>
      <c r="T93" s="2" t="s">
        <v>46</v>
      </c>
      <c r="U93" s="2" t="s">
        <v>72</v>
      </c>
    </row>
    <row r="94" spans="5:21" x14ac:dyDescent="0.35">
      <c r="E94" s="2" t="s">
        <v>584</v>
      </c>
      <c r="F94" s="2">
        <v>2702332330</v>
      </c>
      <c r="G94" s="2" t="s">
        <v>585</v>
      </c>
      <c r="H94" s="2" t="s">
        <v>586</v>
      </c>
      <c r="I94" s="2" t="s">
        <v>587</v>
      </c>
      <c r="J94" s="2" t="s">
        <v>37</v>
      </c>
      <c r="K94" s="29" t="s">
        <v>270</v>
      </c>
      <c r="L94" s="29" t="s">
        <v>5</v>
      </c>
      <c r="M94" s="2" t="s">
        <v>574</v>
      </c>
      <c r="N94" s="2" t="s">
        <v>40</v>
      </c>
      <c r="O94" s="3" t="s">
        <v>588</v>
      </c>
      <c r="P94" s="3" t="s">
        <v>589</v>
      </c>
      <c r="Q94" s="3" t="s">
        <v>43</v>
      </c>
      <c r="R94" s="4">
        <v>46055</v>
      </c>
      <c r="S94" s="3" t="s">
        <v>45</v>
      </c>
      <c r="T94" s="3" t="s">
        <v>83</v>
      </c>
      <c r="U94" s="3" t="s">
        <v>47</v>
      </c>
    </row>
    <row r="95" spans="5:21" x14ac:dyDescent="0.35">
      <c r="E95" s="2" t="s">
        <v>590</v>
      </c>
      <c r="F95" s="2">
        <v>2702262476</v>
      </c>
      <c r="G95" s="2" t="s">
        <v>591</v>
      </c>
      <c r="H95" s="2" t="s">
        <v>592</v>
      </c>
      <c r="I95" s="2" t="s">
        <v>593</v>
      </c>
      <c r="J95" s="2" t="s">
        <v>257</v>
      </c>
      <c r="K95" s="29" t="s">
        <v>297</v>
      </c>
      <c r="L95" s="29" t="s">
        <v>3</v>
      </c>
      <c r="M95" s="2" t="s">
        <v>594</v>
      </c>
      <c r="N95" s="2" t="s">
        <v>595</v>
      </c>
      <c r="O95" s="12" t="s">
        <v>260</v>
      </c>
      <c r="P95" s="12" t="s">
        <v>260</v>
      </c>
      <c r="Q95" s="12" t="s">
        <v>260</v>
      </c>
      <c r="R95" s="12" t="s">
        <v>260</v>
      </c>
      <c r="S95" s="12" t="s">
        <v>260</v>
      </c>
      <c r="T95" s="12" t="s">
        <v>260</v>
      </c>
      <c r="U95" s="12" t="s">
        <v>72</v>
      </c>
    </row>
    <row r="96" spans="5:21" x14ac:dyDescent="0.35">
      <c r="E96" s="7" t="s">
        <v>596</v>
      </c>
      <c r="F96" s="7">
        <v>2702331763</v>
      </c>
      <c r="G96" s="7" t="s">
        <v>597</v>
      </c>
      <c r="H96" s="7" t="s">
        <v>598</v>
      </c>
      <c r="I96" s="7" t="s">
        <v>599</v>
      </c>
      <c r="J96" s="7" t="s">
        <v>37</v>
      </c>
      <c r="K96" s="29" t="s">
        <v>173</v>
      </c>
      <c r="L96" s="29" t="s">
        <v>7</v>
      </c>
      <c r="M96" s="7" t="s">
        <v>594</v>
      </c>
      <c r="N96" s="7" t="s">
        <v>406</v>
      </c>
      <c r="O96" s="11" t="s">
        <v>292</v>
      </c>
      <c r="P96" s="11" t="s">
        <v>600</v>
      </c>
      <c r="Q96" s="11" t="s">
        <v>43</v>
      </c>
      <c r="R96" s="11" t="s">
        <v>44</v>
      </c>
      <c r="S96" s="11" t="s">
        <v>153</v>
      </c>
      <c r="T96" s="11" t="s">
        <v>46</v>
      </c>
      <c r="U96" s="11" t="s">
        <v>72</v>
      </c>
    </row>
    <row r="97" spans="5:21" x14ac:dyDescent="0.35">
      <c r="E97" s="2" t="s">
        <v>601</v>
      </c>
      <c r="F97" s="2">
        <v>2702267262</v>
      </c>
      <c r="G97" s="2" t="s">
        <v>602</v>
      </c>
      <c r="H97" s="2" t="s">
        <v>603</v>
      </c>
      <c r="I97" s="2" t="s">
        <v>604</v>
      </c>
      <c r="J97" s="2" t="s">
        <v>37</v>
      </c>
      <c r="K97" s="26" t="s">
        <v>105</v>
      </c>
      <c r="L97" s="26" t="s">
        <v>4</v>
      </c>
      <c r="M97" s="2" t="s">
        <v>605</v>
      </c>
      <c r="N97" s="2" t="s">
        <v>40</v>
      </c>
      <c r="O97" s="3" t="s">
        <v>107</v>
      </c>
      <c r="P97" s="3" t="s">
        <v>108</v>
      </c>
      <c r="Q97" s="3" t="s">
        <v>109</v>
      </c>
      <c r="R97" s="4">
        <v>46055</v>
      </c>
      <c r="S97" s="3" t="s">
        <v>110</v>
      </c>
      <c r="T97" s="3" t="s">
        <v>46</v>
      </c>
      <c r="U97" s="3" t="s">
        <v>47</v>
      </c>
    </row>
    <row r="98" spans="5:21" x14ac:dyDescent="0.35">
      <c r="E98" s="2" t="s">
        <v>606</v>
      </c>
      <c r="F98" s="2">
        <v>2702231861</v>
      </c>
      <c r="G98" s="2" t="s">
        <v>607</v>
      </c>
      <c r="H98" s="2" t="s">
        <v>608</v>
      </c>
      <c r="I98" s="2" t="s">
        <v>609</v>
      </c>
      <c r="J98" s="2" t="s">
        <v>37</v>
      </c>
      <c r="K98" s="26" t="s">
        <v>150</v>
      </c>
      <c r="L98" s="26" t="s">
        <v>6</v>
      </c>
      <c r="M98" s="2" t="s">
        <v>605</v>
      </c>
      <c r="N98" s="2" t="s">
        <v>40</v>
      </c>
      <c r="O98" s="6" t="s">
        <v>610</v>
      </c>
      <c r="P98" s="6" t="s">
        <v>589</v>
      </c>
      <c r="Q98" s="6" t="s">
        <v>43</v>
      </c>
      <c r="R98" s="25">
        <v>46055</v>
      </c>
      <c r="S98" s="6" t="s">
        <v>45</v>
      </c>
      <c r="T98" s="6" t="s">
        <v>83</v>
      </c>
      <c r="U98" s="6" t="s">
        <v>47</v>
      </c>
    </row>
    <row r="99" spans="5:21" x14ac:dyDescent="0.35">
      <c r="E99" s="2" t="s">
        <v>611</v>
      </c>
      <c r="F99" s="2">
        <v>2702280421</v>
      </c>
      <c r="G99" s="2" t="s">
        <v>612</v>
      </c>
      <c r="H99" s="2" t="s">
        <v>613</v>
      </c>
      <c r="I99" s="2" t="s">
        <v>614</v>
      </c>
      <c r="J99" s="2" t="s">
        <v>257</v>
      </c>
      <c r="K99" s="29" t="s">
        <v>432</v>
      </c>
      <c r="L99" s="29" t="s">
        <v>1</v>
      </c>
      <c r="M99" s="2" t="s">
        <v>615</v>
      </c>
      <c r="N99" s="2" t="s">
        <v>40</v>
      </c>
      <c r="O99" s="2" t="s">
        <v>260</v>
      </c>
      <c r="P99" s="2" t="s">
        <v>260</v>
      </c>
      <c r="Q99" s="2" t="s">
        <v>260</v>
      </c>
      <c r="R99" s="2" t="s">
        <v>260</v>
      </c>
      <c r="S99" s="2" t="s">
        <v>260</v>
      </c>
      <c r="T99" s="2" t="s">
        <v>260</v>
      </c>
      <c r="U99" s="2" t="s">
        <v>72</v>
      </c>
    </row>
    <row r="100" spans="5:21" x14ac:dyDescent="0.35">
      <c r="E100" s="2" t="s">
        <v>616</v>
      </c>
      <c r="F100" s="2">
        <v>2702300234</v>
      </c>
      <c r="G100" s="2" t="s">
        <v>617</v>
      </c>
      <c r="H100" s="2" t="s">
        <v>618</v>
      </c>
      <c r="I100" s="2" t="s">
        <v>619</v>
      </c>
      <c r="J100" s="2" t="s">
        <v>37</v>
      </c>
      <c r="K100" s="26" t="s">
        <v>105</v>
      </c>
      <c r="L100" s="26" t="s">
        <v>4</v>
      </c>
      <c r="M100" s="2" t="s">
        <v>615</v>
      </c>
      <c r="N100" s="2" t="s">
        <v>54</v>
      </c>
      <c r="O100" s="3" t="s">
        <v>107</v>
      </c>
      <c r="P100" s="3" t="s">
        <v>108</v>
      </c>
      <c r="Q100" s="3" t="s">
        <v>109</v>
      </c>
      <c r="R100" s="4">
        <v>46055</v>
      </c>
      <c r="S100" s="3" t="s">
        <v>110</v>
      </c>
      <c r="T100" s="3" t="s">
        <v>46</v>
      </c>
      <c r="U100" s="3" t="s">
        <v>72</v>
      </c>
    </row>
    <row r="101" spans="5:21" x14ac:dyDescent="0.35">
      <c r="E101" s="7" t="s">
        <v>620</v>
      </c>
      <c r="F101" s="7">
        <v>2702343776</v>
      </c>
      <c r="G101" s="7" t="s">
        <v>621</v>
      </c>
      <c r="H101" s="7" t="s">
        <v>622</v>
      </c>
      <c r="I101" s="7" t="s">
        <v>623</v>
      </c>
      <c r="J101" s="7" t="s">
        <v>37</v>
      </c>
      <c r="K101" s="7" t="s">
        <v>214</v>
      </c>
      <c r="L101" s="2" t="s">
        <v>0</v>
      </c>
      <c r="M101" s="7" t="s">
        <v>615</v>
      </c>
      <c r="N101" s="7" t="s">
        <v>54</v>
      </c>
      <c r="O101" s="13" t="s">
        <v>107</v>
      </c>
      <c r="P101" s="13" t="s">
        <v>108</v>
      </c>
      <c r="Q101" s="13" t="s">
        <v>109</v>
      </c>
      <c r="R101" s="17">
        <v>46055</v>
      </c>
      <c r="S101" s="13" t="s">
        <v>110</v>
      </c>
      <c r="T101" s="13" t="s">
        <v>46</v>
      </c>
      <c r="U101" s="13" t="s">
        <v>72</v>
      </c>
    </row>
    <row r="102" spans="5:21" x14ac:dyDescent="0.35">
      <c r="E102" s="7" t="s">
        <v>624</v>
      </c>
      <c r="F102" s="7">
        <v>2702272193</v>
      </c>
      <c r="G102" s="7" t="s">
        <v>625</v>
      </c>
      <c r="H102" s="7" t="s">
        <v>626</v>
      </c>
      <c r="I102" s="7" t="s">
        <v>627</v>
      </c>
      <c r="J102" s="7" t="s">
        <v>257</v>
      </c>
      <c r="K102" s="29" t="s">
        <v>297</v>
      </c>
      <c r="L102" s="29" t="s">
        <v>3</v>
      </c>
      <c r="M102" s="7" t="s">
        <v>628</v>
      </c>
      <c r="N102" s="7" t="s">
        <v>40</v>
      </c>
      <c r="O102" s="7" t="s">
        <v>260</v>
      </c>
      <c r="P102" s="7" t="s">
        <v>260</v>
      </c>
      <c r="Q102" s="7" t="s">
        <v>260</v>
      </c>
      <c r="R102" s="7" t="s">
        <v>260</v>
      </c>
      <c r="S102" s="7" t="s">
        <v>260</v>
      </c>
      <c r="T102" s="7" t="s">
        <v>260</v>
      </c>
      <c r="U102" s="7" t="s">
        <v>72</v>
      </c>
    </row>
    <row r="103" spans="5:21" x14ac:dyDescent="0.35">
      <c r="E103" s="7" t="s">
        <v>629</v>
      </c>
      <c r="F103" s="7">
        <v>2702228141</v>
      </c>
      <c r="G103" s="7" t="s">
        <v>630</v>
      </c>
      <c r="H103" s="7" t="s">
        <v>631</v>
      </c>
      <c r="I103" s="7" t="s">
        <v>632</v>
      </c>
      <c r="J103" s="7" t="s">
        <v>257</v>
      </c>
      <c r="K103" s="26" t="s">
        <v>258</v>
      </c>
      <c r="L103" s="26" t="s">
        <v>10</v>
      </c>
      <c r="M103" s="7" t="s">
        <v>633</v>
      </c>
      <c r="N103" s="7" t="s">
        <v>40</v>
      </c>
      <c r="O103" s="7" t="s">
        <v>260</v>
      </c>
      <c r="P103" s="7" t="s">
        <v>260</v>
      </c>
      <c r="Q103" s="7" t="s">
        <v>260</v>
      </c>
      <c r="R103" s="7" t="s">
        <v>260</v>
      </c>
      <c r="S103" s="7" t="s">
        <v>260</v>
      </c>
      <c r="T103" s="7" t="s">
        <v>260</v>
      </c>
      <c r="U103" s="7" t="s">
        <v>72</v>
      </c>
    </row>
    <row r="104" spans="5:21" x14ac:dyDescent="0.35">
      <c r="E104" s="2" t="s">
        <v>634</v>
      </c>
      <c r="F104" s="2">
        <v>2702231981</v>
      </c>
      <c r="G104" s="2" t="s">
        <v>635</v>
      </c>
      <c r="H104" s="2" t="s">
        <v>636</v>
      </c>
      <c r="I104" s="2" t="s">
        <v>637</v>
      </c>
      <c r="J104" s="2" t="s">
        <v>257</v>
      </c>
      <c r="K104" s="26" t="s">
        <v>432</v>
      </c>
      <c r="L104" s="26" t="s">
        <v>1</v>
      </c>
      <c r="M104" s="2" t="s">
        <v>633</v>
      </c>
      <c r="N104" s="2" t="s">
        <v>54</v>
      </c>
      <c r="O104" s="2" t="s">
        <v>260</v>
      </c>
      <c r="P104" s="2" t="s">
        <v>260</v>
      </c>
      <c r="Q104" s="2" t="s">
        <v>260</v>
      </c>
      <c r="R104" s="2" t="s">
        <v>260</v>
      </c>
      <c r="S104" s="2" t="s">
        <v>260</v>
      </c>
      <c r="T104" s="2" t="s">
        <v>260</v>
      </c>
      <c r="U104" s="2" t="s">
        <v>72</v>
      </c>
    </row>
    <row r="105" spans="5:21" x14ac:dyDescent="0.35">
      <c r="E105" s="2" t="s">
        <v>638</v>
      </c>
      <c r="F105" s="2">
        <v>2702232984</v>
      </c>
      <c r="G105" s="2" t="s">
        <v>639</v>
      </c>
      <c r="H105" s="2" t="s">
        <v>640</v>
      </c>
      <c r="I105" s="2" t="s">
        <v>641</v>
      </c>
      <c r="J105" s="2" t="s">
        <v>37</v>
      </c>
      <c r="K105" s="7" t="s">
        <v>214</v>
      </c>
      <c r="L105" s="2" t="s">
        <v>0</v>
      </c>
      <c r="M105" s="2" t="s">
        <v>633</v>
      </c>
      <c r="N105" s="2" t="s">
        <v>40</v>
      </c>
      <c r="O105" s="3" t="s">
        <v>107</v>
      </c>
      <c r="P105" s="3" t="s">
        <v>108</v>
      </c>
      <c r="Q105" s="3" t="s">
        <v>109</v>
      </c>
      <c r="R105" s="4">
        <v>46055</v>
      </c>
      <c r="S105" s="3" t="s">
        <v>110</v>
      </c>
      <c r="T105" s="3" t="s">
        <v>46</v>
      </c>
      <c r="U105" s="3" t="s">
        <v>47</v>
      </c>
    </row>
    <row r="106" spans="5:21" x14ac:dyDescent="0.35">
      <c r="E106" s="2" t="s">
        <v>642</v>
      </c>
      <c r="F106" s="2">
        <v>2702380891</v>
      </c>
      <c r="G106" s="2" t="s">
        <v>643</v>
      </c>
      <c r="H106" s="2" t="s">
        <v>644</v>
      </c>
      <c r="I106" s="2" t="s">
        <v>645</v>
      </c>
      <c r="J106" s="2" t="s">
        <v>37</v>
      </c>
      <c r="K106" s="26" t="s">
        <v>150</v>
      </c>
      <c r="L106" s="26" t="s">
        <v>6</v>
      </c>
      <c r="M106" s="2" t="s">
        <v>633</v>
      </c>
      <c r="N106" s="2" t="s">
        <v>54</v>
      </c>
      <c r="O106" s="2" t="s">
        <v>646</v>
      </c>
      <c r="P106" s="2" t="s">
        <v>647</v>
      </c>
      <c r="Q106" s="2" t="s">
        <v>43</v>
      </c>
      <c r="R106" s="2" t="s">
        <v>648</v>
      </c>
      <c r="S106" s="2" t="s">
        <v>45</v>
      </c>
      <c r="T106" s="2" t="s">
        <v>46</v>
      </c>
      <c r="U106" s="2" t="s">
        <v>72</v>
      </c>
    </row>
    <row r="107" spans="5:21" x14ac:dyDescent="0.35">
      <c r="E107" s="2" t="s">
        <v>649</v>
      </c>
      <c r="F107" s="2">
        <v>2702321352</v>
      </c>
      <c r="G107" s="2" t="s">
        <v>650</v>
      </c>
      <c r="H107" s="2" t="s">
        <v>651</v>
      </c>
      <c r="I107" s="2" t="s">
        <v>652</v>
      </c>
      <c r="J107" s="2" t="s">
        <v>257</v>
      </c>
      <c r="K107" s="26" t="s">
        <v>258</v>
      </c>
      <c r="L107" s="26" t="s">
        <v>10</v>
      </c>
      <c r="M107" s="2" t="s">
        <v>653</v>
      </c>
      <c r="N107" s="2" t="s">
        <v>54</v>
      </c>
      <c r="O107" s="2" t="s">
        <v>260</v>
      </c>
      <c r="P107" s="2" t="s">
        <v>260</v>
      </c>
      <c r="Q107" s="2" t="s">
        <v>260</v>
      </c>
      <c r="R107" s="2" t="s">
        <v>260</v>
      </c>
      <c r="S107" s="2" t="s">
        <v>260</v>
      </c>
      <c r="T107" s="2" t="s">
        <v>260</v>
      </c>
      <c r="U107" s="2" t="s">
        <v>72</v>
      </c>
    </row>
    <row r="108" spans="5:21" x14ac:dyDescent="0.35">
      <c r="E108" s="2" t="s">
        <v>654</v>
      </c>
      <c r="F108" s="2">
        <v>2702358134</v>
      </c>
      <c r="G108" s="2" t="s">
        <v>655</v>
      </c>
      <c r="H108" s="2" t="s">
        <v>656</v>
      </c>
      <c r="I108" s="2" t="s">
        <v>657</v>
      </c>
      <c r="J108" s="2" t="s">
        <v>37</v>
      </c>
      <c r="K108" s="26" t="s">
        <v>150</v>
      </c>
      <c r="L108" s="26" t="s">
        <v>6</v>
      </c>
      <c r="M108" s="2" t="s">
        <v>653</v>
      </c>
      <c r="N108" s="2" t="s">
        <v>54</v>
      </c>
      <c r="O108" s="3" t="s">
        <v>658</v>
      </c>
      <c r="P108" s="3" t="s">
        <v>304</v>
      </c>
      <c r="Q108" s="3" t="s">
        <v>43</v>
      </c>
      <c r="R108" s="4">
        <v>46055</v>
      </c>
      <c r="S108" s="4">
        <v>46420</v>
      </c>
      <c r="T108" s="3" t="s">
        <v>122</v>
      </c>
      <c r="U108" s="3" t="s">
        <v>47</v>
      </c>
    </row>
    <row r="109" spans="5:21" x14ac:dyDescent="0.35">
      <c r="E109" s="7" t="s">
        <v>659</v>
      </c>
      <c r="F109" s="7">
        <v>2702227864</v>
      </c>
      <c r="G109" s="7" t="s">
        <v>660</v>
      </c>
      <c r="H109" s="7" t="s">
        <v>661</v>
      </c>
      <c r="I109" s="7" t="s">
        <v>662</v>
      </c>
      <c r="J109" s="7" t="s">
        <v>257</v>
      </c>
      <c r="K109" s="26" t="s">
        <v>258</v>
      </c>
      <c r="L109" s="26" t="s">
        <v>10</v>
      </c>
      <c r="M109" s="7" t="s">
        <v>663</v>
      </c>
      <c r="N109" s="7" t="s">
        <v>40</v>
      </c>
      <c r="O109" s="7" t="s">
        <v>260</v>
      </c>
      <c r="P109" s="7" t="s">
        <v>260</v>
      </c>
      <c r="Q109" s="7" t="s">
        <v>260</v>
      </c>
      <c r="R109" s="7" t="s">
        <v>260</v>
      </c>
      <c r="S109" s="7" t="s">
        <v>260</v>
      </c>
      <c r="T109" s="7" t="s">
        <v>260</v>
      </c>
      <c r="U109" s="7" t="s">
        <v>72</v>
      </c>
    </row>
    <row r="110" spans="5:21" x14ac:dyDescent="0.35">
      <c r="E110" s="2" t="s">
        <v>664</v>
      </c>
      <c r="F110" s="2">
        <v>2702358191</v>
      </c>
      <c r="G110" s="2" t="s">
        <v>665</v>
      </c>
      <c r="H110" s="2" t="s">
        <v>666</v>
      </c>
      <c r="I110" s="2" t="s">
        <v>667</v>
      </c>
      <c r="J110" s="2" t="s">
        <v>257</v>
      </c>
      <c r="K110" s="26" t="s">
        <v>258</v>
      </c>
      <c r="L110" s="26" t="s">
        <v>10</v>
      </c>
      <c r="M110" s="2" t="s">
        <v>663</v>
      </c>
      <c r="N110" s="2" t="s">
        <v>54</v>
      </c>
      <c r="O110" s="2" t="s">
        <v>260</v>
      </c>
      <c r="P110" s="2" t="s">
        <v>260</v>
      </c>
      <c r="Q110" s="2" t="s">
        <v>260</v>
      </c>
      <c r="R110" s="2" t="s">
        <v>260</v>
      </c>
      <c r="S110" s="2" t="s">
        <v>260</v>
      </c>
      <c r="T110" s="2" t="s">
        <v>260</v>
      </c>
      <c r="U110" s="2" t="s">
        <v>72</v>
      </c>
    </row>
    <row r="111" spans="5:21" x14ac:dyDescent="0.35">
      <c r="E111" s="7" t="s">
        <v>668</v>
      </c>
      <c r="F111" s="7">
        <v>2702236055</v>
      </c>
      <c r="G111" s="7" t="s">
        <v>669</v>
      </c>
      <c r="H111" s="7" t="s">
        <v>670</v>
      </c>
      <c r="I111" s="7" t="s">
        <v>671</v>
      </c>
      <c r="J111" s="7" t="s">
        <v>257</v>
      </c>
      <c r="K111" s="26" t="s">
        <v>432</v>
      </c>
      <c r="L111" s="26" t="s">
        <v>1</v>
      </c>
      <c r="M111" s="7" t="s">
        <v>672</v>
      </c>
      <c r="N111" s="7" t="s">
        <v>40</v>
      </c>
      <c r="O111" s="7" t="s">
        <v>260</v>
      </c>
      <c r="P111" s="7" t="s">
        <v>260</v>
      </c>
      <c r="Q111" s="7" t="s">
        <v>260</v>
      </c>
      <c r="R111" s="7" t="s">
        <v>260</v>
      </c>
      <c r="S111" s="7" t="s">
        <v>260</v>
      </c>
      <c r="T111" s="7" t="s">
        <v>260</v>
      </c>
      <c r="U111" s="7" t="s">
        <v>47</v>
      </c>
    </row>
    <row r="112" spans="5:21" x14ac:dyDescent="0.35">
      <c r="E112" s="28" t="s">
        <v>673</v>
      </c>
      <c r="F112" s="24">
        <v>2702228886</v>
      </c>
      <c r="G112" s="24" t="s">
        <v>674</v>
      </c>
      <c r="H112" s="24" t="s">
        <v>675</v>
      </c>
      <c r="I112" s="24" t="s">
        <v>676</v>
      </c>
      <c r="J112" s="24" t="s">
        <v>37</v>
      </c>
      <c r="K112" s="26" t="s">
        <v>270</v>
      </c>
      <c r="L112" s="26" t="s">
        <v>5</v>
      </c>
      <c r="M112" s="24" t="s">
        <v>672</v>
      </c>
      <c r="N112" s="24" t="s">
        <v>40</v>
      </c>
      <c r="O112" s="8" t="s">
        <v>677</v>
      </c>
      <c r="P112" s="8" t="s">
        <v>71</v>
      </c>
      <c r="Q112" s="8" t="s">
        <v>43</v>
      </c>
      <c r="R112" s="16">
        <v>46055</v>
      </c>
      <c r="S112" s="16">
        <v>46389</v>
      </c>
      <c r="T112" s="8" t="s">
        <v>83</v>
      </c>
      <c r="U112" s="8" t="s">
        <v>72</v>
      </c>
    </row>
    <row r="113" spans="5:21" x14ac:dyDescent="0.35">
      <c r="E113" s="2" t="s">
        <v>668</v>
      </c>
      <c r="F113" s="2">
        <v>2702233785</v>
      </c>
      <c r="G113" s="2" t="s">
        <v>669</v>
      </c>
      <c r="H113" s="2" t="s">
        <v>670</v>
      </c>
      <c r="I113" s="2" t="s">
        <v>671</v>
      </c>
      <c r="J113" s="2" t="s">
        <v>37</v>
      </c>
      <c r="K113" s="26" t="s">
        <v>38</v>
      </c>
      <c r="L113" s="26" t="s">
        <v>12</v>
      </c>
      <c r="M113" s="2" t="s">
        <v>672</v>
      </c>
      <c r="N113" s="2" t="s">
        <v>40</v>
      </c>
      <c r="O113" s="2" t="s">
        <v>41</v>
      </c>
      <c r="P113" s="2" t="s">
        <v>71</v>
      </c>
      <c r="Q113" s="2" t="s">
        <v>43</v>
      </c>
      <c r="R113" s="2" t="s">
        <v>44</v>
      </c>
      <c r="S113" s="2" t="s">
        <v>45</v>
      </c>
      <c r="T113" s="2" t="s">
        <v>46</v>
      </c>
      <c r="U113" s="2" t="s">
        <v>47</v>
      </c>
    </row>
    <row r="114" spans="5:21" x14ac:dyDescent="0.35">
      <c r="E114" s="7" t="s">
        <v>678</v>
      </c>
      <c r="F114" s="7">
        <v>2702224162</v>
      </c>
      <c r="G114" s="7" t="s">
        <v>679</v>
      </c>
      <c r="H114" s="7" t="s">
        <v>680</v>
      </c>
      <c r="I114" s="7" t="s">
        <v>681</v>
      </c>
      <c r="J114" s="7" t="s">
        <v>257</v>
      </c>
      <c r="K114" s="26" t="s">
        <v>432</v>
      </c>
      <c r="L114" s="26" t="s">
        <v>1</v>
      </c>
      <c r="M114" s="7" t="s">
        <v>682</v>
      </c>
      <c r="N114" s="7" t="s">
        <v>40</v>
      </c>
      <c r="O114" s="7" t="s">
        <v>260</v>
      </c>
      <c r="P114" s="7" t="s">
        <v>260</v>
      </c>
      <c r="Q114" s="7" t="s">
        <v>260</v>
      </c>
      <c r="R114" s="7" t="s">
        <v>260</v>
      </c>
      <c r="S114" s="7" t="s">
        <v>260</v>
      </c>
      <c r="T114" s="7" t="s">
        <v>260</v>
      </c>
      <c r="U114" s="7" t="s">
        <v>72</v>
      </c>
    </row>
    <row r="115" spans="5:21" x14ac:dyDescent="0.35">
      <c r="E115" s="7" t="s">
        <v>683</v>
      </c>
      <c r="F115" s="7">
        <v>2702249316</v>
      </c>
      <c r="G115" s="7" t="s">
        <v>684</v>
      </c>
      <c r="H115" s="7" t="s">
        <v>685</v>
      </c>
      <c r="I115" s="7" t="s">
        <v>686</v>
      </c>
      <c r="J115" s="7" t="s">
        <v>37</v>
      </c>
      <c r="K115" s="26" t="s">
        <v>132</v>
      </c>
      <c r="L115" s="26" t="s">
        <v>9</v>
      </c>
      <c r="M115" s="7" t="s">
        <v>687</v>
      </c>
      <c r="N115" s="7" t="s">
        <v>40</v>
      </c>
      <c r="O115" s="13" t="s">
        <v>688</v>
      </c>
      <c r="P115" s="13" t="s">
        <v>134</v>
      </c>
      <c r="Q115" s="13" t="s">
        <v>43</v>
      </c>
      <c r="R115" s="17">
        <v>46055</v>
      </c>
      <c r="S115" s="13" t="s">
        <v>45</v>
      </c>
      <c r="T115" s="13" t="s">
        <v>46</v>
      </c>
      <c r="U115" s="13" t="s">
        <v>47</v>
      </c>
    </row>
    <row r="116" spans="5:21" x14ac:dyDescent="0.35">
      <c r="E116" s="7" t="s">
        <v>689</v>
      </c>
      <c r="F116" s="7">
        <v>2702265742</v>
      </c>
      <c r="G116" s="7" t="s">
        <v>690</v>
      </c>
      <c r="H116" s="7" t="s">
        <v>691</v>
      </c>
      <c r="I116" s="7" t="s">
        <v>692</v>
      </c>
      <c r="J116" s="7" t="s">
        <v>37</v>
      </c>
      <c r="K116" s="29" t="s">
        <v>150</v>
      </c>
      <c r="L116" s="29" t="s">
        <v>6</v>
      </c>
      <c r="M116" s="7" t="s">
        <v>687</v>
      </c>
      <c r="N116" s="7" t="s">
        <v>54</v>
      </c>
      <c r="O116" s="8" t="s">
        <v>252</v>
      </c>
      <c r="P116" s="8" t="s">
        <v>121</v>
      </c>
      <c r="Q116" s="8" t="s">
        <v>43</v>
      </c>
      <c r="R116" s="16">
        <v>46358</v>
      </c>
      <c r="S116" s="16">
        <v>46723</v>
      </c>
      <c r="T116" s="8" t="s">
        <v>46</v>
      </c>
      <c r="U116" s="8" t="s">
        <v>47</v>
      </c>
    </row>
    <row r="117" spans="5:21" x14ac:dyDescent="0.35">
      <c r="E117" s="2" t="s">
        <v>693</v>
      </c>
      <c r="F117" s="2">
        <v>2702385671</v>
      </c>
      <c r="G117" s="2" t="s">
        <v>694</v>
      </c>
      <c r="H117" s="2" t="s">
        <v>695</v>
      </c>
      <c r="I117" s="2" t="s">
        <v>696</v>
      </c>
      <c r="J117" s="2" t="s">
        <v>37</v>
      </c>
      <c r="K117" s="29" t="s">
        <v>270</v>
      </c>
      <c r="L117" s="29" t="s">
        <v>5</v>
      </c>
      <c r="M117" s="2" t="s">
        <v>697</v>
      </c>
      <c r="N117" s="2" t="s">
        <v>54</v>
      </c>
      <c r="O117" s="3" t="s">
        <v>107</v>
      </c>
      <c r="P117" s="3" t="s">
        <v>108</v>
      </c>
      <c r="Q117" s="3" t="s">
        <v>109</v>
      </c>
      <c r="R117" s="4">
        <v>46055</v>
      </c>
      <c r="S117" s="3" t="s">
        <v>110</v>
      </c>
      <c r="T117" s="3" t="s">
        <v>46</v>
      </c>
      <c r="U117" s="3" t="s">
        <v>47</v>
      </c>
    </row>
    <row r="118" spans="5:21" x14ac:dyDescent="0.35">
      <c r="E118" s="2" t="s">
        <v>698</v>
      </c>
      <c r="F118" s="2">
        <v>2702262394</v>
      </c>
      <c r="G118" s="2" t="s">
        <v>699</v>
      </c>
      <c r="H118" s="2" t="s">
        <v>700</v>
      </c>
      <c r="I118" s="2" t="s">
        <v>701</v>
      </c>
      <c r="J118" s="2" t="s">
        <v>37</v>
      </c>
      <c r="K118" s="29" t="s">
        <v>158</v>
      </c>
      <c r="L118" s="29" t="s">
        <v>11</v>
      </c>
      <c r="M118" s="2" t="s">
        <v>697</v>
      </c>
      <c r="N118" s="2" t="s">
        <v>40</v>
      </c>
      <c r="O118" s="3" t="s">
        <v>107</v>
      </c>
      <c r="P118" s="3" t="s">
        <v>108</v>
      </c>
      <c r="Q118" s="3" t="s">
        <v>109</v>
      </c>
      <c r="R118" s="4">
        <v>46055</v>
      </c>
      <c r="S118" s="3" t="s">
        <v>110</v>
      </c>
      <c r="T118" s="3" t="s">
        <v>46</v>
      </c>
      <c r="U118" s="3" t="s">
        <v>72</v>
      </c>
    </row>
    <row r="119" spans="5:21" x14ac:dyDescent="0.35">
      <c r="E119" s="7" t="s">
        <v>702</v>
      </c>
      <c r="F119" s="7">
        <v>2702232675</v>
      </c>
      <c r="G119" s="7" t="s">
        <v>703</v>
      </c>
      <c r="H119" s="7" t="s">
        <v>704</v>
      </c>
      <c r="I119" s="7" t="s">
        <v>705</v>
      </c>
      <c r="J119" s="7" t="s">
        <v>37</v>
      </c>
      <c r="K119" s="26" t="s">
        <v>132</v>
      </c>
      <c r="L119" s="26" t="s">
        <v>9</v>
      </c>
      <c r="M119" s="7" t="s">
        <v>706</v>
      </c>
      <c r="N119" s="7" t="s">
        <v>40</v>
      </c>
      <c r="O119" s="8" t="s">
        <v>707</v>
      </c>
      <c r="P119" s="8" t="s">
        <v>315</v>
      </c>
      <c r="Q119" s="8" t="s">
        <v>43</v>
      </c>
      <c r="R119" s="16">
        <v>46055</v>
      </c>
      <c r="S119" s="8" t="s">
        <v>45</v>
      </c>
      <c r="T119" s="8" t="s">
        <v>46</v>
      </c>
      <c r="U119" s="8" t="s">
        <v>47</v>
      </c>
    </row>
    <row r="120" spans="5:21" x14ac:dyDescent="0.35">
      <c r="E120" s="2" t="s">
        <v>708</v>
      </c>
      <c r="F120" s="2">
        <v>2702231104</v>
      </c>
      <c r="G120" s="2" t="s">
        <v>709</v>
      </c>
      <c r="H120" s="2" t="s">
        <v>710</v>
      </c>
      <c r="I120" s="2" t="s">
        <v>711</v>
      </c>
      <c r="J120" s="2" t="s">
        <v>257</v>
      </c>
      <c r="K120" s="26" t="s">
        <v>258</v>
      </c>
      <c r="L120" s="26" t="s">
        <v>10</v>
      </c>
      <c r="M120" s="2" t="s">
        <v>712</v>
      </c>
      <c r="N120" s="2" t="s">
        <v>54</v>
      </c>
      <c r="O120" s="12" t="s">
        <v>260</v>
      </c>
      <c r="P120" s="12" t="s">
        <v>260</v>
      </c>
      <c r="Q120" s="12" t="s">
        <v>260</v>
      </c>
      <c r="R120" s="12" t="s">
        <v>260</v>
      </c>
      <c r="S120" s="12" t="s">
        <v>260</v>
      </c>
      <c r="T120" s="12" t="s">
        <v>260</v>
      </c>
      <c r="U120" s="12" t="s">
        <v>72</v>
      </c>
    </row>
    <row r="121" spans="5:21" x14ac:dyDescent="0.35">
      <c r="E121" s="7" t="s">
        <v>713</v>
      </c>
      <c r="F121" s="7">
        <v>2702279956</v>
      </c>
      <c r="G121" s="7" t="s">
        <v>714</v>
      </c>
      <c r="H121" s="7" t="s">
        <v>715</v>
      </c>
      <c r="I121" s="7" t="s">
        <v>716</v>
      </c>
      <c r="J121" s="7" t="s">
        <v>37</v>
      </c>
      <c r="K121" s="26" t="s">
        <v>158</v>
      </c>
      <c r="L121" s="26" t="s">
        <v>11</v>
      </c>
      <c r="M121" s="7" t="s">
        <v>712</v>
      </c>
      <c r="N121" s="7" t="s">
        <v>40</v>
      </c>
      <c r="O121" s="14" t="s">
        <v>107</v>
      </c>
      <c r="P121" s="14" t="s">
        <v>108</v>
      </c>
      <c r="Q121" s="14" t="s">
        <v>109</v>
      </c>
      <c r="R121" s="15">
        <v>46055</v>
      </c>
      <c r="S121" s="14" t="s">
        <v>110</v>
      </c>
      <c r="T121" s="14" t="s">
        <v>46</v>
      </c>
      <c r="U121" s="14" t="s">
        <v>47</v>
      </c>
    </row>
    <row r="122" spans="5:21" x14ac:dyDescent="0.35">
      <c r="E122" s="7" t="s">
        <v>717</v>
      </c>
      <c r="F122" s="7">
        <v>2702282540</v>
      </c>
      <c r="G122" s="7" t="s">
        <v>718</v>
      </c>
      <c r="H122" s="7" t="s">
        <v>719</v>
      </c>
      <c r="I122" s="7" t="s">
        <v>720</v>
      </c>
      <c r="J122" s="7" t="s">
        <v>37</v>
      </c>
      <c r="K122" s="26" t="s">
        <v>270</v>
      </c>
      <c r="L122" s="26" t="s">
        <v>5</v>
      </c>
      <c r="M122" s="7" t="s">
        <v>721</v>
      </c>
      <c r="N122" s="7" t="s">
        <v>40</v>
      </c>
      <c r="O122" s="14" t="s">
        <v>107</v>
      </c>
      <c r="P122" s="14" t="s">
        <v>108</v>
      </c>
      <c r="Q122" s="14" t="s">
        <v>109</v>
      </c>
      <c r="R122" s="15">
        <v>46055</v>
      </c>
      <c r="S122" s="14" t="s">
        <v>110</v>
      </c>
      <c r="T122" s="14" t="s">
        <v>46</v>
      </c>
      <c r="U122" s="14" t="s">
        <v>72</v>
      </c>
    </row>
    <row r="123" spans="5:21" x14ac:dyDescent="0.35">
      <c r="E123" s="7" t="s">
        <v>722</v>
      </c>
      <c r="F123" s="7">
        <v>2702243174</v>
      </c>
      <c r="G123" s="7" t="s">
        <v>723</v>
      </c>
      <c r="H123" s="7" t="s">
        <v>724</v>
      </c>
      <c r="I123" s="7" t="s">
        <v>725</v>
      </c>
      <c r="J123" s="7" t="s">
        <v>37</v>
      </c>
      <c r="K123" s="26" t="s">
        <v>132</v>
      </c>
      <c r="L123" s="26" t="s">
        <v>9</v>
      </c>
      <c r="M123" s="7" t="s">
        <v>721</v>
      </c>
      <c r="N123" s="7" t="s">
        <v>54</v>
      </c>
      <c r="O123" s="14" t="s">
        <v>726</v>
      </c>
      <c r="P123" s="14" t="s">
        <v>56</v>
      </c>
      <c r="Q123" s="14" t="s">
        <v>43</v>
      </c>
      <c r="R123" s="15">
        <v>46055</v>
      </c>
      <c r="S123" s="14" t="s">
        <v>45</v>
      </c>
      <c r="T123" s="14" t="s">
        <v>46</v>
      </c>
      <c r="U123" s="14" t="s">
        <v>47</v>
      </c>
    </row>
    <row r="124" spans="5:21" x14ac:dyDescent="0.35">
      <c r="E124" s="7" t="s">
        <v>727</v>
      </c>
      <c r="F124" s="7">
        <v>2702361545</v>
      </c>
      <c r="G124" s="7" t="s">
        <v>728</v>
      </c>
      <c r="H124" s="7" t="s">
        <v>729</v>
      </c>
      <c r="I124" s="7" t="s">
        <v>730</v>
      </c>
      <c r="J124" s="7" t="s">
        <v>37</v>
      </c>
      <c r="K124" s="26" t="s">
        <v>77</v>
      </c>
      <c r="L124" s="26" t="s">
        <v>13</v>
      </c>
      <c r="M124" s="7" t="s">
        <v>731</v>
      </c>
      <c r="N124" s="7" t="s">
        <v>732</v>
      </c>
      <c r="O124" s="14" t="s">
        <v>733</v>
      </c>
      <c r="P124" s="14" t="s">
        <v>326</v>
      </c>
      <c r="Q124" s="14" t="s">
        <v>43</v>
      </c>
      <c r="R124" s="15">
        <v>46055</v>
      </c>
      <c r="S124" s="14" t="s">
        <v>45</v>
      </c>
      <c r="T124" s="14" t="s">
        <v>46</v>
      </c>
      <c r="U124" s="14" t="s">
        <v>72</v>
      </c>
    </row>
    <row r="125" spans="5:21" x14ac:dyDescent="0.35">
      <c r="E125" s="7" t="s">
        <v>734</v>
      </c>
      <c r="F125" s="7">
        <v>2702233532</v>
      </c>
      <c r="G125" s="7" t="s">
        <v>735</v>
      </c>
      <c r="H125" s="7" t="s">
        <v>736</v>
      </c>
      <c r="I125" s="7" t="s">
        <v>737</v>
      </c>
      <c r="J125" s="7" t="s">
        <v>61</v>
      </c>
      <c r="K125" s="26" t="s">
        <v>62</v>
      </c>
      <c r="L125" s="26" t="s">
        <v>8</v>
      </c>
      <c r="M125" s="7" t="s">
        <v>738</v>
      </c>
      <c r="N125" s="7" t="s">
        <v>40</v>
      </c>
      <c r="O125" s="14" t="s">
        <v>64</v>
      </c>
      <c r="P125" s="14" t="s">
        <v>400</v>
      </c>
      <c r="Q125" s="14" t="s">
        <v>109</v>
      </c>
      <c r="R125" s="15">
        <v>46055</v>
      </c>
      <c r="S125" s="15">
        <v>46061</v>
      </c>
      <c r="T125" s="14" t="s">
        <v>66</v>
      </c>
      <c r="U125" s="14" t="s">
        <v>47</v>
      </c>
    </row>
    <row r="126" spans="5:21" x14ac:dyDescent="0.35">
      <c r="E126" s="2" t="s">
        <v>739</v>
      </c>
      <c r="F126" s="2">
        <v>2702236111</v>
      </c>
      <c r="G126" s="2" t="s">
        <v>740</v>
      </c>
      <c r="H126" s="2" t="s">
        <v>741</v>
      </c>
      <c r="I126" s="2" t="s">
        <v>742</v>
      </c>
      <c r="J126" s="2" t="s">
        <v>37</v>
      </c>
      <c r="K126" s="26" t="s">
        <v>132</v>
      </c>
      <c r="L126" s="26" t="s">
        <v>9</v>
      </c>
      <c r="M126" s="2" t="s">
        <v>738</v>
      </c>
      <c r="N126" s="2" t="s">
        <v>40</v>
      </c>
      <c r="O126" s="6" t="s">
        <v>743</v>
      </c>
      <c r="P126" s="6" t="s">
        <v>200</v>
      </c>
      <c r="Q126" s="6" t="s">
        <v>43</v>
      </c>
      <c r="R126" s="25">
        <v>46055</v>
      </c>
      <c r="S126" s="6" t="s">
        <v>45</v>
      </c>
      <c r="T126" s="6" t="s">
        <v>83</v>
      </c>
      <c r="U126" s="6" t="s">
        <v>47</v>
      </c>
    </row>
    <row r="127" spans="5:21" x14ac:dyDescent="0.35">
      <c r="E127" s="7" t="s">
        <v>744</v>
      </c>
      <c r="F127" s="7">
        <v>2602208750</v>
      </c>
      <c r="G127" s="7" t="s">
        <v>745</v>
      </c>
      <c r="H127" s="7" t="s">
        <v>746</v>
      </c>
      <c r="I127" s="7" t="s">
        <v>747</v>
      </c>
      <c r="J127" s="7" t="s">
        <v>37</v>
      </c>
      <c r="K127" s="26" t="s">
        <v>132</v>
      </c>
      <c r="L127" s="26" t="s">
        <v>9</v>
      </c>
      <c r="M127" s="7" t="s">
        <v>738</v>
      </c>
      <c r="N127" s="7" t="s">
        <v>40</v>
      </c>
      <c r="O127" s="13" t="s">
        <v>748</v>
      </c>
      <c r="P127" s="13" t="s">
        <v>121</v>
      </c>
      <c r="Q127" s="13" t="s">
        <v>43</v>
      </c>
      <c r="R127" s="17">
        <v>46358</v>
      </c>
      <c r="S127" s="17">
        <v>46723</v>
      </c>
      <c r="T127" s="13" t="s">
        <v>83</v>
      </c>
      <c r="U127" s="13" t="s">
        <v>72</v>
      </c>
    </row>
    <row r="128" spans="5:21" x14ac:dyDescent="0.35">
      <c r="E128" s="2" t="s">
        <v>749</v>
      </c>
      <c r="F128" s="2">
        <v>2702361961</v>
      </c>
      <c r="G128" s="2" t="s">
        <v>750</v>
      </c>
      <c r="H128" s="2" t="s">
        <v>751</v>
      </c>
      <c r="I128" s="2" t="s">
        <v>752</v>
      </c>
      <c r="J128" s="2" t="s">
        <v>257</v>
      </c>
      <c r="K128" s="26" t="s">
        <v>258</v>
      </c>
      <c r="L128" s="26" t="s">
        <v>10</v>
      </c>
      <c r="M128" s="2" t="s">
        <v>753</v>
      </c>
      <c r="N128" s="2" t="s">
        <v>54</v>
      </c>
      <c r="O128" s="2" t="s">
        <v>260</v>
      </c>
      <c r="P128" s="2" t="s">
        <v>260</v>
      </c>
      <c r="Q128" s="2" t="s">
        <v>260</v>
      </c>
      <c r="R128" s="2" t="s">
        <v>260</v>
      </c>
      <c r="S128" s="2" t="s">
        <v>260</v>
      </c>
      <c r="T128" s="2" t="s">
        <v>260</v>
      </c>
      <c r="U128" s="2" t="s">
        <v>72</v>
      </c>
    </row>
    <row r="129" spans="5:21" x14ac:dyDescent="0.35">
      <c r="E129" s="2" t="s">
        <v>754</v>
      </c>
      <c r="F129" s="2">
        <v>2702235046</v>
      </c>
      <c r="G129" s="2" t="s">
        <v>755</v>
      </c>
      <c r="H129" s="2" t="s">
        <v>756</v>
      </c>
      <c r="I129" s="2" t="s">
        <v>757</v>
      </c>
      <c r="J129" s="2" t="s">
        <v>257</v>
      </c>
      <c r="K129" s="26" t="s">
        <v>297</v>
      </c>
      <c r="L129" s="26" t="s">
        <v>3</v>
      </c>
      <c r="M129" s="2" t="s">
        <v>753</v>
      </c>
      <c r="N129" s="2" t="s">
        <v>54</v>
      </c>
      <c r="O129" s="2" t="s">
        <v>260</v>
      </c>
      <c r="P129" s="2" t="s">
        <v>260</v>
      </c>
      <c r="Q129" s="2" t="s">
        <v>260</v>
      </c>
      <c r="R129" s="2" t="s">
        <v>260</v>
      </c>
      <c r="S129" s="2" t="s">
        <v>260</v>
      </c>
      <c r="T129" s="2" t="s">
        <v>260</v>
      </c>
      <c r="U129" s="2" t="s">
        <v>72</v>
      </c>
    </row>
    <row r="130" spans="5:21" x14ac:dyDescent="0.35">
      <c r="E130" s="7" t="s">
        <v>758</v>
      </c>
      <c r="F130" s="7">
        <v>2702379145</v>
      </c>
      <c r="G130" s="7" t="s">
        <v>759</v>
      </c>
      <c r="H130" s="7" t="s">
        <v>760</v>
      </c>
      <c r="I130" s="7" t="s">
        <v>761</v>
      </c>
      <c r="J130" s="7" t="s">
        <v>257</v>
      </c>
      <c r="K130" s="26" t="s">
        <v>297</v>
      </c>
      <c r="L130" s="26" t="s">
        <v>3</v>
      </c>
      <c r="M130" s="7" t="s">
        <v>762</v>
      </c>
      <c r="N130" s="7" t="s">
        <v>54</v>
      </c>
      <c r="O130" s="7" t="s">
        <v>260</v>
      </c>
      <c r="P130" s="7" t="s">
        <v>260</v>
      </c>
      <c r="Q130" s="7" t="s">
        <v>260</v>
      </c>
      <c r="R130" s="7" t="s">
        <v>260</v>
      </c>
      <c r="S130" s="7" t="s">
        <v>260</v>
      </c>
      <c r="T130" s="7" t="s">
        <v>260</v>
      </c>
      <c r="U130" s="7" t="s">
        <v>72</v>
      </c>
    </row>
    <row r="131" spans="5:21" x14ac:dyDescent="0.35">
      <c r="E131" s="2" t="s">
        <v>763</v>
      </c>
      <c r="F131" s="2">
        <v>2702324253</v>
      </c>
      <c r="G131" s="2" t="s">
        <v>764</v>
      </c>
      <c r="H131" s="2" t="s">
        <v>765</v>
      </c>
      <c r="I131" s="2" t="s">
        <v>766</v>
      </c>
      <c r="J131" s="2" t="s">
        <v>257</v>
      </c>
      <c r="K131" s="26" t="s">
        <v>258</v>
      </c>
      <c r="L131" s="26" t="s">
        <v>10</v>
      </c>
      <c r="M131" s="2" t="s">
        <v>767</v>
      </c>
      <c r="N131" s="2" t="s">
        <v>54</v>
      </c>
      <c r="O131" s="3" t="s">
        <v>768</v>
      </c>
      <c r="P131" s="3" t="s">
        <v>769</v>
      </c>
      <c r="Q131" s="3" t="s">
        <v>770</v>
      </c>
      <c r="R131" s="4">
        <v>46025</v>
      </c>
      <c r="S131" s="3" t="s">
        <v>110</v>
      </c>
      <c r="T131" s="5" t="s">
        <v>260</v>
      </c>
      <c r="U131" s="3" t="s">
        <v>47</v>
      </c>
    </row>
    <row r="132" spans="5:21" x14ac:dyDescent="0.35">
      <c r="E132" s="7" t="s">
        <v>771</v>
      </c>
      <c r="F132" s="7">
        <v>2702267174</v>
      </c>
      <c r="G132" s="7" t="s">
        <v>772</v>
      </c>
      <c r="H132" s="7" t="s">
        <v>773</v>
      </c>
      <c r="I132" s="7" t="s">
        <v>774</v>
      </c>
      <c r="J132" s="7" t="s">
        <v>37</v>
      </c>
      <c r="K132" s="26" t="s">
        <v>132</v>
      </c>
      <c r="L132" s="26" t="s">
        <v>9</v>
      </c>
      <c r="M132" s="7" t="s">
        <v>775</v>
      </c>
      <c r="N132" s="7" t="s">
        <v>40</v>
      </c>
      <c r="O132" s="8" t="s">
        <v>776</v>
      </c>
      <c r="P132" s="8" t="s">
        <v>121</v>
      </c>
      <c r="Q132" s="8" t="s">
        <v>43</v>
      </c>
      <c r="R132" s="16">
        <v>46297</v>
      </c>
      <c r="S132" s="16">
        <v>46662</v>
      </c>
      <c r="T132" s="8" t="s">
        <v>46</v>
      </c>
      <c r="U132" s="8" t="s">
        <v>72</v>
      </c>
    </row>
    <row r="133" spans="5:21" x14ac:dyDescent="0.35">
      <c r="E133" s="7" t="s">
        <v>777</v>
      </c>
      <c r="F133" s="7">
        <v>2702304592</v>
      </c>
      <c r="G133" s="7" t="s">
        <v>778</v>
      </c>
      <c r="H133" s="7" t="s">
        <v>779</v>
      </c>
      <c r="I133" s="7" t="s">
        <v>780</v>
      </c>
      <c r="J133" s="7" t="s">
        <v>257</v>
      </c>
      <c r="K133" s="29" t="s">
        <v>258</v>
      </c>
      <c r="L133" s="29" t="s">
        <v>10</v>
      </c>
      <c r="M133" s="7" t="s">
        <v>781</v>
      </c>
      <c r="N133" s="7" t="s">
        <v>54</v>
      </c>
      <c r="O133" s="7" t="s">
        <v>260</v>
      </c>
      <c r="P133" s="7" t="s">
        <v>260</v>
      </c>
      <c r="Q133" s="7" t="s">
        <v>260</v>
      </c>
      <c r="R133" s="7" t="s">
        <v>260</v>
      </c>
      <c r="S133" s="7" t="s">
        <v>260</v>
      </c>
      <c r="T133" s="7" t="s">
        <v>260</v>
      </c>
      <c r="U133" s="7" t="s">
        <v>72</v>
      </c>
    </row>
    <row r="134" spans="5:21" x14ac:dyDescent="0.35">
      <c r="E134" s="7" t="s">
        <v>782</v>
      </c>
      <c r="F134" s="7">
        <v>2702309403</v>
      </c>
      <c r="G134" s="7" t="s">
        <v>783</v>
      </c>
      <c r="H134" s="7" t="s">
        <v>784</v>
      </c>
      <c r="I134" s="7" t="s">
        <v>785</v>
      </c>
      <c r="J134" s="7" t="s">
        <v>37</v>
      </c>
      <c r="K134" s="29" t="s">
        <v>105</v>
      </c>
      <c r="L134" s="29" t="s">
        <v>4</v>
      </c>
      <c r="M134" s="7" t="s">
        <v>781</v>
      </c>
      <c r="N134" s="7" t="s">
        <v>40</v>
      </c>
      <c r="O134" s="13" t="s">
        <v>107</v>
      </c>
      <c r="P134" s="13" t="s">
        <v>108</v>
      </c>
      <c r="Q134" s="13" t="s">
        <v>109</v>
      </c>
      <c r="R134" s="17">
        <v>46055</v>
      </c>
      <c r="S134" s="13" t="s">
        <v>110</v>
      </c>
      <c r="T134" s="13" t="s">
        <v>46</v>
      </c>
      <c r="U134" s="13" t="s">
        <v>47</v>
      </c>
    </row>
    <row r="135" spans="5:21" x14ac:dyDescent="0.35">
      <c r="E135" s="2" t="s">
        <v>786</v>
      </c>
      <c r="F135" s="2">
        <v>2702260155</v>
      </c>
      <c r="G135" s="2" t="s">
        <v>787</v>
      </c>
      <c r="H135" s="2" t="s">
        <v>788</v>
      </c>
      <c r="I135" s="2" t="s">
        <v>789</v>
      </c>
      <c r="J135" s="2" t="s">
        <v>257</v>
      </c>
      <c r="K135" s="26" t="s">
        <v>297</v>
      </c>
      <c r="L135" s="26" t="s">
        <v>3</v>
      </c>
      <c r="M135" s="2" t="s">
        <v>790</v>
      </c>
      <c r="N135" s="2" t="s">
        <v>406</v>
      </c>
      <c r="O135" s="2" t="s">
        <v>260</v>
      </c>
      <c r="P135" s="2" t="s">
        <v>260</v>
      </c>
      <c r="Q135" s="2" t="s">
        <v>260</v>
      </c>
      <c r="R135" s="2" t="s">
        <v>260</v>
      </c>
      <c r="S135" s="2" t="s">
        <v>260</v>
      </c>
      <c r="T135" s="2" t="s">
        <v>260</v>
      </c>
      <c r="U135" s="2" t="s">
        <v>72</v>
      </c>
    </row>
    <row r="136" spans="5:21" x14ac:dyDescent="0.35">
      <c r="E136" s="2" t="s">
        <v>791</v>
      </c>
      <c r="F136" s="2">
        <v>2702409854</v>
      </c>
      <c r="G136" s="2" t="s">
        <v>792</v>
      </c>
      <c r="H136" s="2" t="s">
        <v>793</v>
      </c>
      <c r="I136" s="2" t="s">
        <v>794</v>
      </c>
      <c r="J136" s="2" t="s">
        <v>37</v>
      </c>
      <c r="K136" s="29" t="s">
        <v>150</v>
      </c>
      <c r="L136" s="29" t="s">
        <v>6</v>
      </c>
      <c r="M136" s="2" t="s">
        <v>795</v>
      </c>
      <c r="N136" s="2" t="s">
        <v>406</v>
      </c>
      <c r="O136" s="3" t="s">
        <v>796</v>
      </c>
      <c r="P136" s="3" t="s">
        <v>326</v>
      </c>
      <c r="Q136" s="3" t="s">
        <v>43</v>
      </c>
      <c r="R136" s="4">
        <v>46267</v>
      </c>
      <c r="S136" s="4">
        <v>46601</v>
      </c>
      <c r="T136" s="3" t="s">
        <v>46</v>
      </c>
      <c r="U136" s="3" t="s">
        <v>72</v>
      </c>
    </row>
    <row r="137" spans="5:21" x14ac:dyDescent="0.35">
      <c r="E137" s="2" t="s">
        <v>797</v>
      </c>
      <c r="F137" s="2">
        <v>2702309441</v>
      </c>
      <c r="G137" s="2" t="s">
        <v>798</v>
      </c>
      <c r="H137" s="2" t="s">
        <v>799</v>
      </c>
      <c r="I137" s="2" t="s">
        <v>800</v>
      </c>
      <c r="J137" s="2" t="s">
        <v>61</v>
      </c>
      <c r="K137" s="26" t="s">
        <v>62</v>
      </c>
      <c r="L137" s="26" t="s">
        <v>8</v>
      </c>
      <c r="M137" s="2" t="s">
        <v>801</v>
      </c>
      <c r="N137" s="2" t="s">
        <v>40</v>
      </c>
      <c r="O137" s="3" t="s">
        <v>64</v>
      </c>
      <c r="P137" s="3" t="s">
        <v>65</v>
      </c>
      <c r="Q137" s="3" t="s">
        <v>109</v>
      </c>
      <c r="R137" s="4">
        <v>46055</v>
      </c>
      <c r="S137" s="4">
        <v>46061</v>
      </c>
      <c r="T137" s="3" t="s">
        <v>66</v>
      </c>
      <c r="U137" s="3" t="s">
        <v>47</v>
      </c>
    </row>
    <row r="138" spans="5:21" x14ac:dyDescent="0.35">
      <c r="E138" s="7" t="s">
        <v>802</v>
      </c>
      <c r="F138" s="7">
        <v>2702262444</v>
      </c>
      <c r="G138" s="7" t="s">
        <v>803</v>
      </c>
      <c r="H138" s="7" t="s">
        <v>804</v>
      </c>
      <c r="I138" s="7" t="s">
        <v>805</v>
      </c>
      <c r="J138" s="7" t="s">
        <v>37</v>
      </c>
      <c r="K138" s="26" t="s">
        <v>173</v>
      </c>
      <c r="L138" s="26" t="s">
        <v>7</v>
      </c>
      <c r="M138" s="7" t="s">
        <v>801</v>
      </c>
      <c r="N138" s="7" t="s">
        <v>732</v>
      </c>
      <c r="O138" s="13" t="s">
        <v>806</v>
      </c>
      <c r="P138" s="13" t="s">
        <v>108</v>
      </c>
      <c r="Q138" s="13" t="s">
        <v>43</v>
      </c>
      <c r="R138" s="17">
        <v>46055</v>
      </c>
      <c r="S138" s="13" t="s">
        <v>240</v>
      </c>
      <c r="T138" s="13" t="s">
        <v>46</v>
      </c>
      <c r="U138" s="13" t="s">
        <v>47</v>
      </c>
    </row>
    <row r="139" spans="5:21" x14ac:dyDescent="0.35">
      <c r="E139" s="2" t="s">
        <v>807</v>
      </c>
      <c r="F139" s="2">
        <v>2702362024</v>
      </c>
      <c r="G139" s="2" t="s">
        <v>808</v>
      </c>
      <c r="H139" s="2" t="s">
        <v>809</v>
      </c>
      <c r="I139" s="2" t="s">
        <v>810</v>
      </c>
      <c r="J139" s="2" t="s">
        <v>257</v>
      </c>
      <c r="K139" s="26" t="s">
        <v>432</v>
      </c>
      <c r="L139" s="26" t="s">
        <v>1</v>
      </c>
      <c r="M139" s="2" t="s">
        <v>811</v>
      </c>
      <c r="N139" s="2" t="s">
        <v>40</v>
      </c>
      <c r="O139" s="12" t="s">
        <v>260</v>
      </c>
      <c r="P139" s="12" t="s">
        <v>260</v>
      </c>
      <c r="Q139" s="12" t="s">
        <v>260</v>
      </c>
      <c r="R139" s="12" t="s">
        <v>260</v>
      </c>
      <c r="S139" s="12" t="s">
        <v>260</v>
      </c>
      <c r="T139" s="12" t="s">
        <v>260</v>
      </c>
      <c r="U139" s="12" t="s">
        <v>72</v>
      </c>
    </row>
    <row r="140" spans="5:21" x14ac:dyDescent="0.35">
      <c r="E140" s="2" t="s">
        <v>812</v>
      </c>
      <c r="F140" s="2">
        <v>2702227984</v>
      </c>
      <c r="G140" s="2" t="s">
        <v>813</v>
      </c>
      <c r="H140" s="2" t="s">
        <v>814</v>
      </c>
      <c r="I140" s="2" t="s">
        <v>815</v>
      </c>
      <c r="J140" s="2" t="s">
        <v>61</v>
      </c>
      <c r="K140" s="26" t="s">
        <v>62</v>
      </c>
      <c r="L140" s="26" t="s">
        <v>8</v>
      </c>
      <c r="M140" s="2" t="s">
        <v>811</v>
      </c>
      <c r="N140" s="2" t="s">
        <v>54</v>
      </c>
      <c r="O140" s="19" t="s">
        <v>64</v>
      </c>
      <c r="P140" s="19" t="s">
        <v>65</v>
      </c>
      <c r="Q140" s="19" t="s">
        <v>43</v>
      </c>
      <c r="R140" s="20">
        <v>46055</v>
      </c>
      <c r="S140" s="20">
        <v>46420</v>
      </c>
      <c r="T140" s="19" t="s">
        <v>66</v>
      </c>
      <c r="U140" s="19" t="s">
        <v>47</v>
      </c>
    </row>
    <row r="141" spans="5:21" x14ac:dyDescent="0.35">
      <c r="E141" s="7" t="s">
        <v>816</v>
      </c>
      <c r="F141" s="7">
        <v>2702275604</v>
      </c>
      <c r="G141" s="7" t="s">
        <v>817</v>
      </c>
      <c r="H141" s="7" t="s">
        <v>818</v>
      </c>
      <c r="I141" s="7" t="s">
        <v>819</v>
      </c>
      <c r="J141" s="7" t="s">
        <v>257</v>
      </c>
      <c r="K141" s="26" t="s">
        <v>105</v>
      </c>
      <c r="L141" s="26" t="s">
        <v>4</v>
      </c>
      <c r="M141" s="7" t="s">
        <v>820</v>
      </c>
      <c r="N141" s="7" t="s">
        <v>54</v>
      </c>
      <c r="O141" s="11" t="s">
        <v>260</v>
      </c>
      <c r="P141" s="11" t="s">
        <v>260</v>
      </c>
      <c r="Q141" s="11" t="s">
        <v>260</v>
      </c>
      <c r="R141" s="11" t="s">
        <v>260</v>
      </c>
      <c r="S141" s="11" t="s">
        <v>260</v>
      </c>
      <c r="T141" s="11" t="s">
        <v>260</v>
      </c>
      <c r="U141" s="11" t="s">
        <v>72</v>
      </c>
    </row>
    <row r="142" spans="5:21" x14ac:dyDescent="0.35">
      <c r="E142" s="7" t="s">
        <v>821</v>
      </c>
      <c r="F142" s="7">
        <v>2702262431</v>
      </c>
      <c r="G142" s="7" t="s">
        <v>822</v>
      </c>
      <c r="H142" s="7" t="s">
        <v>823</v>
      </c>
      <c r="I142" s="7" t="s">
        <v>824</v>
      </c>
      <c r="J142" s="7" t="s">
        <v>257</v>
      </c>
      <c r="K142" s="26" t="s">
        <v>432</v>
      </c>
      <c r="L142" s="26" t="s">
        <v>1</v>
      </c>
      <c r="M142" s="7" t="s">
        <v>825</v>
      </c>
      <c r="N142" s="7" t="s">
        <v>406</v>
      </c>
      <c r="O142" s="11" t="s">
        <v>260</v>
      </c>
      <c r="P142" s="11" t="s">
        <v>260</v>
      </c>
      <c r="Q142" s="11" t="s">
        <v>260</v>
      </c>
      <c r="R142" s="11" t="s">
        <v>260</v>
      </c>
      <c r="S142" s="11" t="s">
        <v>260</v>
      </c>
      <c r="T142" s="11" t="s">
        <v>260</v>
      </c>
      <c r="U142" s="11" t="s">
        <v>72</v>
      </c>
    </row>
    <row r="143" spans="5:21" x14ac:dyDescent="0.35">
      <c r="E143" s="7" t="s">
        <v>826</v>
      </c>
      <c r="F143" s="7">
        <v>2702224175</v>
      </c>
      <c r="G143" s="7" t="s">
        <v>827</v>
      </c>
      <c r="H143" s="7" t="s">
        <v>828</v>
      </c>
      <c r="I143" s="7" t="s">
        <v>829</v>
      </c>
      <c r="J143" s="7" t="s">
        <v>257</v>
      </c>
      <c r="K143" s="26" t="s">
        <v>297</v>
      </c>
      <c r="L143" s="26" t="s">
        <v>3</v>
      </c>
      <c r="M143" s="7" t="s">
        <v>825</v>
      </c>
      <c r="N143" s="7" t="s">
        <v>406</v>
      </c>
      <c r="O143" s="11" t="s">
        <v>260</v>
      </c>
      <c r="P143" s="11" t="s">
        <v>260</v>
      </c>
      <c r="Q143" s="11" t="s">
        <v>260</v>
      </c>
      <c r="R143" s="11" t="s">
        <v>260</v>
      </c>
      <c r="S143" s="11" t="s">
        <v>260</v>
      </c>
      <c r="T143" s="11" t="s">
        <v>260</v>
      </c>
      <c r="U143" s="11" t="s">
        <v>72</v>
      </c>
    </row>
    <row r="144" spans="5:21" x14ac:dyDescent="0.35">
      <c r="E144" s="7" t="s">
        <v>830</v>
      </c>
      <c r="F144" s="7">
        <v>2702275371</v>
      </c>
      <c r="G144" s="7" t="s">
        <v>831</v>
      </c>
      <c r="H144" s="7" t="s">
        <v>832</v>
      </c>
      <c r="I144" s="7" t="s">
        <v>833</v>
      </c>
      <c r="J144" s="7" t="s">
        <v>411</v>
      </c>
      <c r="K144" s="24"/>
      <c r="L144" s="24"/>
      <c r="M144" s="7" t="s">
        <v>825</v>
      </c>
      <c r="N144" s="7" t="s">
        <v>54</v>
      </c>
      <c r="O144" s="11" t="s">
        <v>834</v>
      </c>
      <c r="P144" s="11" t="s">
        <v>414</v>
      </c>
      <c r="Q144" s="11" t="s">
        <v>260</v>
      </c>
      <c r="R144" s="11" t="s">
        <v>415</v>
      </c>
      <c r="S144" s="11" t="s">
        <v>416</v>
      </c>
      <c r="T144" s="11" t="s">
        <v>260</v>
      </c>
      <c r="U144" s="11" t="s">
        <v>72</v>
      </c>
    </row>
    <row r="145" spans="5:21" x14ac:dyDescent="0.35">
      <c r="E145" s="2" t="s">
        <v>835</v>
      </c>
      <c r="F145" s="2">
        <v>2702272281</v>
      </c>
      <c r="G145" s="2" t="s">
        <v>836</v>
      </c>
      <c r="H145" s="2" t="s">
        <v>837</v>
      </c>
      <c r="I145" s="2" t="s">
        <v>838</v>
      </c>
      <c r="J145" s="2" t="s">
        <v>37</v>
      </c>
      <c r="K145" s="26" t="s">
        <v>270</v>
      </c>
      <c r="L145" s="26" t="s">
        <v>5</v>
      </c>
      <c r="M145" s="2" t="s">
        <v>839</v>
      </c>
      <c r="N145" s="2" t="s">
        <v>40</v>
      </c>
      <c r="O145" s="19" t="s">
        <v>840</v>
      </c>
      <c r="P145" s="19" t="s">
        <v>121</v>
      </c>
      <c r="Q145" s="19" t="s">
        <v>43</v>
      </c>
      <c r="R145" s="20">
        <v>46055</v>
      </c>
      <c r="S145" s="19" t="s">
        <v>45</v>
      </c>
      <c r="T145" s="19" t="s">
        <v>46</v>
      </c>
      <c r="U145" s="19" t="s">
        <v>47</v>
      </c>
    </row>
    <row r="146" spans="5:21" x14ac:dyDescent="0.35">
      <c r="E146" s="7" t="s">
        <v>841</v>
      </c>
      <c r="F146" s="7">
        <v>2702320305</v>
      </c>
      <c r="G146" s="7" t="s">
        <v>842</v>
      </c>
      <c r="H146" s="7" t="s">
        <v>843</v>
      </c>
      <c r="I146" s="7" t="s">
        <v>844</v>
      </c>
      <c r="J146" s="7" t="s">
        <v>61</v>
      </c>
      <c r="K146" s="26" t="s">
        <v>62</v>
      </c>
      <c r="L146" s="26" t="s">
        <v>8</v>
      </c>
      <c r="M146" s="7" t="s">
        <v>839</v>
      </c>
      <c r="N146" s="7" t="s">
        <v>40</v>
      </c>
      <c r="O146" s="14" t="s">
        <v>64</v>
      </c>
      <c r="P146" s="14" t="s">
        <v>65</v>
      </c>
      <c r="Q146" s="14" t="s">
        <v>109</v>
      </c>
      <c r="R146" s="15">
        <v>46055</v>
      </c>
      <c r="S146" s="15">
        <v>46061</v>
      </c>
      <c r="T146" s="14" t="s">
        <v>66</v>
      </c>
      <c r="U146" s="14" t="s">
        <v>47</v>
      </c>
    </row>
    <row r="147" spans="5:21" x14ac:dyDescent="0.35">
      <c r="E147" s="7" t="s">
        <v>845</v>
      </c>
      <c r="F147" s="7">
        <v>2702239725</v>
      </c>
      <c r="G147" s="7" t="s">
        <v>846</v>
      </c>
      <c r="H147" s="7" t="s">
        <v>847</v>
      </c>
      <c r="I147" s="7" t="s">
        <v>848</v>
      </c>
      <c r="J147" s="7" t="s">
        <v>37</v>
      </c>
      <c r="K147" s="26" t="s">
        <v>270</v>
      </c>
      <c r="L147" s="26" t="s">
        <v>5</v>
      </c>
      <c r="M147" s="7" t="s">
        <v>839</v>
      </c>
      <c r="N147" s="7" t="s">
        <v>40</v>
      </c>
      <c r="O147" s="13" t="s">
        <v>849</v>
      </c>
      <c r="P147" s="13" t="s">
        <v>326</v>
      </c>
      <c r="Q147" s="13" t="s">
        <v>43</v>
      </c>
      <c r="R147" s="17">
        <v>46055</v>
      </c>
      <c r="S147" s="17">
        <v>46420</v>
      </c>
      <c r="T147" s="13" t="s">
        <v>46</v>
      </c>
      <c r="U147" s="13" t="s">
        <v>47</v>
      </c>
    </row>
    <row r="148" spans="5:21" x14ac:dyDescent="0.35">
      <c r="E148" s="7" t="s">
        <v>850</v>
      </c>
      <c r="F148" s="7">
        <v>2702345011</v>
      </c>
      <c r="G148" s="7" t="s">
        <v>851</v>
      </c>
      <c r="H148" s="7" t="s">
        <v>852</v>
      </c>
      <c r="I148" s="7" t="s">
        <v>853</v>
      </c>
      <c r="J148" s="7" t="s">
        <v>257</v>
      </c>
      <c r="K148" s="26" t="s">
        <v>258</v>
      </c>
      <c r="L148" s="26" t="s">
        <v>10</v>
      </c>
      <c r="M148" s="7" t="s">
        <v>854</v>
      </c>
      <c r="N148" s="7" t="s">
        <v>855</v>
      </c>
      <c r="O148" s="7" t="s">
        <v>260</v>
      </c>
      <c r="P148" s="7" t="s">
        <v>260</v>
      </c>
      <c r="Q148" s="7" t="s">
        <v>260</v>
      </c>
      <c r="R148" s="7" t="s">
        <v>260</v>
      </c>
      <c r="S148" s="7" t="s">
        <v>260</v>
      </c>
      <c r="T148" s="7" t="s">
        <v>260</v>
      </c>
      <c r="U148" s="7" t="s">
        <v>72</v>
      </c>
    </row>
    <row r="149" spans="5:21" x14ac:dyDescent="0.35">
      <c r="E149" s="2" t="s">
        <v>856</v>
      </c>
      <c r="F149" s="2">
        <v>2702231893</v>
      </c>
      <c r="G149" s="2" t="s">
        <v>857</v>
      </c>
      <c r="H149" s="2" t="s">
        <v>858</v>
      </c>
      <c r="I149" s="2" t="s">
        <v>859</v>
      </c>
      <c r="J149" s="2" t="s">
        <v>37</v>
      </c>
      <c r="K149" s="24" t="s">
        <v>214</v>
      </c>
      <c r="L149" s="23" t="s">
        <v>0</v>
      </c>
      <c r="M149" s="2" t="s">
        <v>860</v>
      </c>
      <c r="N149" s="2" t="s">
        <v>54</v>
      </c>
      <c r="O149" s="3" t="s">
        <v>107</v>
      </c>
      <c r="P149" s="3" t="s">
        <v>108</v>
      </c>
      <c r="Q149" s="3" t="s">
        <v>109</v>
      </c>
      <c r="R149" s="4">
        <v>46055</v>
      </c>
      <c r="S149" s="3" t="s">
        <v>110</v>
      </c>
      <c r="T149" s="3" t="s">
        <v>46</v>
      </c>
      <c r="U149" s="3" t="s">
        <v>72</v>
      </c>
    </row>
    <row r="150" spans="5:21" x14ac:dyDescent="0.35">
      <c r="E150" s="7" t="s">
        <v>861</v>
      </c>
      <c r="F150" s="7">
        <v>2702228021</v>
      </c>
      <c r="G150" s="7" t="s">
        <v>862</v>
      </c>
      <c r="H150" s="7" t="s">
        <v>863</v>
      </c>
      <c r="I150" s="7" t="s">
        <v>864</v>
      </c>
      <c r="J150" s="7" t="s">
        <v>257</v>
      </c>
      <c r="K150" s="26" t="s">
        <v>258</v>
      </c>
      <c r="L150" s="26" t="s">
        <v>10</v>
      </c>
      <c r="M150" s="7" t="s">
        <v>865</v>
      </c>
      <c r="N150" s="7" t="s">
        <v>54</v>
      </c>
      <c r="O150" s="7" t="s">
        <v>260</v>
      </c>
      <c r="P150" s="7" t="s">
        <v>260</v>
      </c>
      <c r="Q150" s="7" t="s">
        <v>260</v>
      </c>
      <c r="R150" s="7" t="s">
        <v>260</v>
      </c>
      <c r="S150" s="7" t="s">
        <v>260</v>
      </c>
      <c r="T150" s="7" t="s">
        <v>260</v>
      </c>
      <c r="U150" s="7" t="s">
        <v>72</v>
      </c>
    </row>
    <row r="151" spans="5:21" x14ac:dyDescent="0.35">
      <c r="E151" s="7" t="s">
        <v>866</v>
      </c>
      <c r="F151" s="7">
        <v>2702271915</v>
      </c>
      <c r="G151" s="7" t="s">
        <v>867</v>
      </c>
      <c r="H151" s="7" t="s">
        <v>868</v>
      </c>
      <c r="I151" s="7" t="s">
        <v>869</v>
      </c>
      <c r="J151" s="7" t="s">
        <v>37</v>
      </c>
      <c r="K151" s="26" t="s">
        <v>132</v>
      </c>
      <c r="L151" s="26" t="s">
        <v>9</v>
      </c>
      <c r="M151" s="7" t="s">
        <v>865</v>
      </c>
      <c r="N151" s="7" t="s">
        <v>732</v>
      </c>
      <c r="O151" s="9" t="s">
        <v>133</v>
      </c>
      <c r="P151" s="9" t="s">
        <v>134</v>
      </c>
      <c r="Q151" s="9" t="s">
        <v>43</v>
      </c>
      <c r="R151" s="10">
        <v>46055</v>
      </c>
      <c r="S151" s="9" t="s">
        <v>45</v>
      </c>
      <c r="T151" s="9" t="s">
        <v>46</v>
      </c>
      <c r="U151" s="9" t="s">
        <v>72</v>
      </c>
    </row>
    <row r="152" spans="5:21" x14ac:dyDescent="0.35">
      <c r="E152" s="2" t="s">
        <v>870</v>
      </c>
      <c r="F152" s="2">
        <v>2702262620</v>
      </c>
      <c r="G152" s="2" t="s">
        <v>871</v>
      </c>
      <c r="H152" s="2" t="s">
        <v>872</v>
      </c>
      <c r="I152" s="2" t="s">
        <v>873</v>
      </c>
      <c r="J152" s="2" t="s">
        <v>874</v>
      </c>
      <c r="K152" s="26" t="s">
        <v>158</v>
      </c>
      <c r="L152" s="26" t="s">
        <v>11</v>
      </c>
      <c r="M152" s="2" t="s">
        <v>875</v>
      </c>
      <c r="N152" s="2" t="s">
        <v>40</v>
      </c>
      <c r="O152" s="19" t="s">
        <v>876</v>
      </c>
      <c r="P152" s="19" t="s">
        <v>326</v>
      </c>
      <c r="Q152" s="19" t="s">
        <v>109</v>
      </c>
      <c r="R152" s="20">
        <v>46055</v>
      </c>
      <c r="S152" s="20">
        <v>46061</v>
      </c>
      <c r="T152" s="19" t="s">
        <v>877</v>
      </c>
      <c r="U152" s="19" t="s">
        <v>72</v>
      </c>
    </row>
    <row r="153" spans="5:21" x14ac:dyDescent="0.35">
      <c r="E153" s="7" t="s">
        <v>878</v>
      </c>
      <c r="F153" s="7">
        <v>2702379473</v>
      </c>
      <c r="G153" s="7" t="s">
        <v>879</v>
      </c>
      <c r="H153" s="7" t="s">
        <v>880</v>
      </c>
      <c r="I153" s="7" t="s">
        <v>881</v>
      </c>
      <c r="J153" s="7" t="s">
        <v>257</v>
      </c>
      <c r="K153" s="26" t="s">
        <v>432</v>
      </c>
      <c r="L153" s="26" t="s">
        <v>1</v>
      </c>
      <c r="M153" s="7" t="s">
        <v>882</v>
      </c>
      <c r="N153" s="7" t="s">
        <v>54</v>
      </c>
      <c r="O153" s="11" t="s">
        <v>260</v>
      </c>
      <c r="P153" s="11" t="s">
        <v>260</v>
      </c>
      <c r="Q153" s="11" t="s">
        <v>260</v>
      </c>
      <c r="R153" s="11" t="s">
        <v>260</v>
      </c>
      <c r="S153" s="11" t="s">
        <v>260</v>
      </c>
      <c r="T153" s="11" t="s">
        <v>260</v>
      </c>
      <c r="U153" s="11" t="s">
        <v>72</v>
      </c>
    </row>
    <row r="154" spans="5:21" x14ac:dyDescent="0.35">
      <c r="E154" s="7" t="s">
        <v>883</v>
      </c>
      <c r="F154" s="7">
        <v>2702283171</v>
      </c>
      <c r="G154" s="7" t="s">
        <v>884</v>
      </c>
      <c r="H154" s="7" t="s">
        <v>885</v>
      </c>
      <c r="I154" s="7" t="s">
        <v>886</v>
      </c>
      <c r="J154" s="7" t="s">
        <v>257</v>
      </c>
      <c r="K154" s="26" t="s">
        <v>105</v>
      </c>
      <c r="L154" s="26" t="s">
        <v>4</v>
      </c>
      <c r="M154" s="7" t="s">
        <v>882</v>
      </c>
      <c r="N154" s="7" t="s">
        <v>887</v>
      </c>
      <c r="O154" s="7" t="s">
        <v>260</v>
      </c>
      <c r="P154" s="7" t="s">
        <v>260</v>
      </c>
      <c r="Q154" s="7" t="s">
        <v>260</v>
      </c>
      <c r="R154" s="7" t="s">
        <v>260</v>
      </c>
      <c r="S154" s="7" t="s">
        <v>260</v>
      </c>
      <c r="T154" s="7" t="s">
        <v>260</v>
      </c>
      <c r="U154" s="7" t="s">
        <v>72</v>
      </c>
    </row>
    <row r="155" spans="5:21" x14ac:dyDescent="0.35">
      <c r="E155" s="2" t="s">
        <v>888</v>
      </c>
      <c r="F155" s="2">
        <v>2702262816</v>
      </c>
      <c r="G155" s="2" t="s">
        <v>889</v>
      </c>
      <c r="H155" s="2" t="s">
        <v>890</v>
      </c>
      <c r="I155" s="2" t="s">
        <v>891</v>
      </c>
      <c r="J155" s="2" t="s">
        <v>37</v>
      </c>
      <c r="K155" s="26" t="s">
        <v>158</v>
      </c>
      <c r="L155" s="26" t="s">
        <v>11</v>
      </c>
      <c r="M155" s="2" t="s">
        <v>892</v>
      </c>
      <c r="N155" s="2" t="s">
        <v>54</v>
      </c>
      <c r="O155" s="3" t="s">
        <v>107</v>
      </c>
      <c r="P155" s="3" t="s">
        <v>108</v>
      </c>
      <c r="Q155" s="3" t="s">
        <v>109</v>
      </c>
      <c r="R155" s="4">
        <v>46055</v>
      </c>
      <c r="S155" s="3" t="s">
        <v>110</v>
      </c>
      <c r="T155" s="3" t="s">
        <v>46</v>
      </c>
      <c r="U155" s="3" t="s">
        <v>72</v>
      </c>
    </row>
    <row r="156" spans="5:21" x14ac:dyDescent="0.35">
      <c r="E156" s="2" t="s">
        <v>893</v>
      </c>
      <c r="F156" s="2">
        <v>2502006133</v>
      </c>
      <c r="G156" s="2" t="s">
        <v>894</v>
      </c>
      <c r="H156" s="2" t="s">
        <v>895</v>
      </c>
      <c r="I156" s="2" t="s">
        <v>896</v>
      </c>
      <c r="J156" s="2" t="s">
        <v>37</v>
      </c>
      <c r="K156" s="26" t="s">
        <v>52</v>
      </c>
      <c r="L156" s="26" t="s">
        <v>2</v>
      </c>
      <c r="M156" s="2" t="s">
        <v>897</v>
      </c>
      <c r="N156" s="2" t="s">
        <v>898</v>
      </c>
      <c r="O156" s="3" t="s">
        <v>107</v>
      </c>
      <c r="P156" s="3" t="s">
        <v>108</v>
      </c>
      <c r="Q156" s="3" t="s">
        <v>109</v>
      </c>
      <c r="R156" s="4">
        <v>46055</v>
      </c>
      <c r="S156" s="3" t="s">
        <v>110</v>
      </c>
      <c r="T156" s="3" t="s">
        <v>46</v>
      </c>
      <c r="U156" s="3" t="s">
        <v>47</v>
      </c>
    </row>
    <row r="157" spans="5:21" x14ac:dyDescent="0.35">
      <c r="E157" s="7" t="s">
        <v>899</v>
      </c>
      <c r="F157" s="7">
        <v>2602207483</v>
      </c>
      <c r="G157" s="7" t="s">
        <v>900</v>
      </c>
      <c r="H157" s="7" t="s">
        <v>901</v>
      </c>
      <c r="I157" s="7" t="s">
        <v>902</v>
      </c>
      <c r="J157" s="7" t="s">
        <v>37</v>
      </c>
      <c r="K157" s="24" t="s">
        <v>214</v>
      </c>
      <c r="L157" s="23" t="s">
        <v>0</v>
      </c>
      <c r="M157" s="7" t="s">
        <v>903</v>
      </c>
      <c r="N157" s="7" t="s">
        <v>904</v>
      </c>
      <c r="O157" s="13" t="s">
        <v>107</v>
      </c>
      <c r="P157" s="13" t="s">
        <v>108</v>
      </c>
      <c r="Q157" s="13" t="s">
        <v>109</v>
      </c>
      <c r="R157" s="17">
        <v>46055</v>
      </c>
      <c r="S157" s="13" t="s">
        <v>110</v>
      </c>
      <c r="T157" s="13" t="s">
        <v>46</v>
      </c>
      <c r="U157" s="13" t="s">
        <v>72</v>
      </c>
    </row>
    <row r="158" spans="5:21" x14ac:dyDescent="0.35">
      <c r="E158" s="7" t="s">
        <v>905</v>
      </c>
      <c r="F158" s="7">
        <v>2702280301</v>
      </c>
      <c r="G158" s="7" t="s">
        <v>906</v>
      </c>
      <c r="H158" s="7" t="s">
        <v>907</v>
      </c>
      <c r="I158" s="7" t="s">
        <v>908</v>
      </c>
      <c r="J158" s="7" t="s">
        <v>257</v>
      </c>
      <c r="K158" s="26" t="s">
        <v>432</v>
      </c>
      <c r="L158" s="26" t="s">
        <v>1</v>
      </c>
      <c r="M158" s="7" t="s">
        <v>909</v>
      </c>
      <c r="N158" s="7" t="s">
        <v>406</v>
      </c>
      <c r="O158" s="7" t="s">
        <v>260</v>
      </c>
      <c r="P158" s="7" t="s">
        <v>260</v>
      </c>
      <c r="Q158" s="7" t="s">
        <v>260</v>
      </c>
      <c r="R158" s="7" t="s">
        <v>260</v>
      </c>
      <c r="S158" s="7" t="s">
        <v>260</v>
      </c>
      <c r="T158" s="7" t="s">
        <v>260</v>
      </c>
      <c r="U158" s="8" t="s">
        <v>72</v>
      </c>
    </row>
    <row r="159" spans="5:21" x14ac:dyDescent="0.35">
      <c r="E159" s="7" t="s">
        <v>910</v>
      </c>
      <c r="F159" s="7">
        <v>2702249272</v>
      </c>
      <c r="G159" s="7" t="s">
        <v>911</v>
      </c>
      <c r="H159" s="7" t="s">
        <v>912</v>
      </c>
      <c r="I159" s="7" t="s">
        <v>913</v>
      </c>
      <c r="J159" s="7" t="s">
        <v>37</v>
      </c>
      <c r="K159" s="26" t="s">
        <v>77</v>
      </c>
      <c r="L159" s="26" t="s">
        <v>13</v>
      </c>
      <c r="M159" s="7" t="s">
        <v>914</v>
      </c>
      <c r="N159" s="7" t="s">
        <v>915</v>
      </c>
      <c r="O159" s="13" t="s">
        <v>107</v>
      </c>
      <c r="P159" s="13" t="s">
        <v>108</v>
      </c>
      <c r="Q159" s="13" t="s">
        <v>109</v>
      </c>
      <c r="R159" s="17">
        <v>46055</v>
      </c>
      <c r="S159" s="13" t="s">
        <v>110</v>
      </c>
      <c r="T159" s="13" t="s">
        <v>46</v>
      </c>
      <c r="U159" s="13" t="s">
        <v>72</v>
      </c>
    </row>
    <row r="160" spans="5:21" x14ac:dyDescent="0.35">
      <c r="E160" s="7" t="s">
        <v>916</v>
      </c>
      <c r="F160" s="7">
        <v>2702282370</v>
      </c>
      <c r="G160" s="7" t="s">
        <v>917</v>
      </c>
      <c r="H160" s="7" t="s">
        <v>918</v>
      </c>
      <c r="I160" s="7" t="s">
        <v>919</v>
      </c>
      <c r="J160" s="7" t="s">
        <v>61</v>
      </c>
      <c r="K160" s="26" t="s">
        <v>62</v>
      </c>
      <c r="L160" s="26" t="s">
        <v>8</v>
      </c>
      <c r="M160" s="7" t="s">
        <v>920</v>
      </c>
      <c r="N160" s="7" t="s">
        <v>40</v>
      </c>
      <c r="O160" s="13" t="s">
        <v>64</v>
      </c>
      <c r="P160" s="13" t="s">
        <v>65</v>
      </c>
      <c r="Q160" s="13" t="s">
        <v>109</v>
      </c>
      <c r="R160" s="17">
        <v>46055</v>
      </c>
      <c r="S160" s="17">
        <v>46061</v>
      </c>
      <c r="T160" s="13" t="s">
        <v>66</v>
      </c>
      <c r="U160" s="13" t="s">
        <v>47</v>
      </c>
    </row>
    <row r="161" spans="5:21" x14ac:dyDescent="0.35">
      <c r="E161" s="2" t="s">
        <v>921</v>
      </c>
      <c r="F161" s="2">
        <v>2702362030</v>
      </c>
      <c r="G161" s="2" t="s">
        <v>922</v>
      </c>
      <c r="H161" s="2" t="s">
        <v>923</v>
      </c>
      <c r="I161" s="2" t="s">
        <v>924</v>
      </c>
      <c r="J161" s="2" t="s">
        <v>37</v>
      </c>
      <c r="K161" s="26" t="s">
        <v>158</v>
      </c>
      <c r="L161" s="26" t="s">
        <v>11</v>
      </c>
      <c r="M161" s="2" t="s">
        <v>925</v>
      </c>
      <c r="N161" s="2" t="s">
        <v>732</v>
      </c>
      <c r="O161" s="19" t="s">
        <v>107</v>
      </c>
      <c r="P161" s="19" t="s">
        <v>108</v>
      </c>
      <c r="Q161" s="19" t="s">
        <v>109</v>
      </c>
      <c r="R161" s="20">
        <v>46055</v>
      </c>
      <c r="S161" s="19" t="s">
        <v>110</v>
      </c>
      <c r="T161" s="19" t="s">
        <v>46</v>
      </c>
      <c r="U161" s="19" t="s">
        <v>72</v>
      </c>
    </row>
    <row r="162" spans="5:21" x14ac:dyDescent="0.35">
      <c r="E162" s="7" t="s">
        <v>926</v>
      </c>
      <c r="F162" s="7">
        <v>2702309353</v>
      </c>
      <c r="G162" s="7" t="s">
        <v>927</v>
      </c>
      <c r="H162" s="7" t="s">
        <v>928</v>
      </c>
      <c r="I162" s="7" t="s">
        <v>929</v>
      </c>
      <c r="J162" s="7" t="s">
        <v>37</v>
      </c>
      <c r="K162" s="26" t="s">
        <v>105</v>
      </c>
      <c r="L162" s="26" t="s">
        <v>4</v>
      </c>
      <c r="M162" s="7" t="s">
        <v>930</v>
      </c>
      <c r="N162" s="7" t="s">
        <v>931</v>
      </c>
      <c r="O162" s="8" t="s">
        <v>932</v>
      </c>
      <c r="P162" s="8" t="s">
        <v>384</v>
      </c>
      <c r="Q162" s="8" t="s">
        <v>43</v>
      </c>
      <c r="R162" s="16">
        <v>46055</v>
      </c>
      <c r="S162" s="8" t="s">
        <v>45</v>
      </c>
      <c r="T162" s="8" t="s">
        <v>83</v>
      </c>
      <c r="U162" s="8" t="s">
        <v>47</v>
      </c>
    </row>
    <row r="163" spans="5:21" x14ac:dyDescent="0.35">
      <c r="E163" s="2" t="s">
        <v>933</v>
      </c>
      <c r="F163" s="2">
        <v>2702337350</v>
      </c>
      <c r="G163" s="2" t="s">
        <v>934</v>
      </c>
      <c r="H163" s="2" t="s">
        <v>935</v>
      </c>
      <c r="I163" s="2" t="s">
        <v>936</v>
      </c>
      <c r="J163" s="2" t="s">
        <v>37</v>
      </c>
      <c r="K163" s="26" t="s">
        <v>105</v>
      </c>
      <c r="L163" s="26" t="s">
        <v>4</v>
      </c>
      <c r="M163" s="2" t="s">
        <v>937</v>
      </c>
      <c r="N163" s="2" t="s">
        <v>931</v>
      </c>
      <c r="O163" s="19" t="s">
        <v>107</v>
      </c>
      <c r="P163" s="19" t="s">
        <v>108</v>
      </c>
      <c r="Q163" s="19" t="s">
        <v>109</v>
      </c>
      <c r="R163" s="20">
        <v>46055</v>
      </c>
      <c r="S163" s="19" t="s">
        <v>110</v>
      </c>
      <c r="T163" s="19" t="s">
        <v>46</v>
      </c>
      <c r="U163" s="19" t="s">
        <v>72</v>
      </c>
    </row>
    <row r="164" spans="5:21" x14ac:dyDescent="0.35">
      <c r="E164" s="7" t="s">
        <v>938</v>
      </c>
      <c r="F164" s="7">
        <v>2702358140</v>
      </c>
      <c r="G164" s="7" t="s">
        <v>939</v>
      </c>
      <c r="H164" s="7" t="s">
        <v>940</v>
      </c>
      <c r="I164" s="7" t="s">
        <v>941</v>
      </c>
      <c r="J164" s="7" t="s">
        <v>37</v>
      </c>
      <c r="K164" s="26" t="s">
        <v>150</v>
      </c>
      <c r="L164" s="26" t="s">
        <v>6</v>
      </c>
      <c r="M164" s="7" t="s">
        <v>942</v>
      </c>
      <c r="N164" s="7" t="s">
        <v>406</v>
      </c>
      <c r="O164" s="13" t="s">
        <v>943</v>
      </c>
      <c r="P164" s="13" t="s">
        <v>944</v>
      </c>
      <c r="Q164" s="13" t="s">
        <v>109</v>
      </c>
      <c r="R164" s="17">
        <v>46267</v>
      </c>
      <c r="S164" s="13" t="s">
        <v>110</v>
      </c>
      <c r="T164" s="13" t="s">
        <v>46</v>
      </c>
      <c r="U164" s="13" t="s">
        <v>47</v>
      </c>
    </row>
    <row r="165" spans="5:21" x14ac:dyDescent="0.35">
      <c r="E165" s="2" t="s">
        <v>945</v>
      </c>
      <c r="F165" s="2">
        <v>2702267281</v>
      </c>
      <c r="G165" s="2" t="s">
        <v>946</v>
      </c>
      <c r="H165" s="2" t="s">
        <v>947</v>
      </c>
      <c r="I165" s="2" t="s">
        <v>948</v>
      </c>
      <c r="J165" s="2" t="s">
        <v>37</v>
      </c>
      <c r="K165" s="26" t="s">
        <v>150</v>
      </c>
      <c r="L165" s="26" t="s">
        <v>6</v>
      </c>
      <c r="M165" s="2" t="s">
        <v>949</v>
      </c>
      <c r="N165" s="2" t="s">
        <v>406</v>
      </c>
      <c r="O165" s="19" t="s">
        <v>950</v>
      </c>
      <c r="P165" s="19" t="s">
        <v>326</v>
      </c>
      <c r="Q165" s="19" t="s">
        <v>43</v>
      </c>
      <c r="R165" s="20">
        <v>46055</v>
      </c>
      <c r="S165" s="19" t="s">
        <v>45</v>
      </c>
      <c r="T165" s="19" t="s">
        <v>46</v>
      </c>
      <c r="U165" s="19" t="s">
        <v>47</v>
      </c>
    </row>
    <row r="166" spans="5:21" x14ac:dyDescent="0.35">
      <c r="E166" s="2" t="s">
        <v>951</v>
      </c>
      <c r="F166" s="2">
        <v>2702321365</v>
      </c>
      <c r="G166" s="2" t="s">
        <v>952</v>
      </c>
      <c r="H166" s="2" t="s">
        <v>953</v>
      </c>
      <c r="I166" s="2" t="s">
        <v>954</v>
      </c>
      <c r="J166" s="2" t="s">
        <v>37</v>
      </c>
      <c r="K166" s="26" t="s">
        <v>270</v>
      </c>
      <c r="L166" s="26" t="s">
        <v>5</v>
      </c>
      <c r="M166" s="2" t="s">
        <v>955</v>
      </c>
      <c r="N166" s="2" t="s">
        <v>732</v>
      </c>
      <c r="O166" s="19" t="s">
        <v>107</v>
      </c>
      <c r="P166" s="19" t="s">
        <v>108</v>
      </c>
      <c r="Q166" s="19" t="s">
        <v>109</v>
      </c>
      <c r="R166" s="20">
        <v>46055</v>
      </c>
      <c r="S166" s="19" t="s">
        <v>110</v>
      </c>
      <c r="T166" s="19" t="s">
        <v>46</v>
      </c>
      <c r="U166" s="19" t="s">
        <v>47</v>
      </c>
    </row>
    <row r="167" spans="5:21" x14ac:dyDescent="0.35">
      <c r="E167" s="2" t="s">
        <v>956</v>
      </c>
      <c r="F167" s="2">
        <v>2702301205</v>
      </c>
      <c r="G167" s="2" t="s">
        <v>957</v>
      </c>
      <c r="H167" s="2" t="s">
        <v>958</v>
      </c>
      <c r="I167" s="2" t="s">
        <v>959</v>
      </c>
      <c r="J167" s="2" t="s">
        <v>257</v>
      </c>
      <c r="K167" s="26" t="s">
        <v>432</v>
      </c>
      <c r="L167" s="26" t="s">
        <v>1</v>
      </c>
      <c r="M167" s="2" t="s">
        <v>960</v>
      </c>
      <c r="N167" s="2" t="s">
        <v>887</v>
      </c>
      <c r="O167" s="2" t="s">
        <v>260</v>
      </c>
      <c r="P167" s="2" t="s">
        <v>260</v>
      </c>
      <c r="Q167" s="2" t="s">
        <v>260</v>
      </c>
      <c r="R167" s="2" t="s">
        <v>260</v>
      </c>
      <c r="S167" s="2" t="s">
        <v>260</v>
      </c>
      <c r="T167" s="2" t="s">
        <v>260</v>
      </c>
      <c r="U167" s="2" t="s">
        <v>72</v>
      </c>
    </row>
    <row r="168" spans="5:21" x14ac:dyDescent="0.35">
      <c r="E168" s="7" t="s">
        <v>961</v>
      </c>
      <c r="F168" s="7">
        <v>2702227971</v>
      </c>
      <c r="G168" s="7" t="s">
        <v>962</v>
      </c>
      <c r="H168" s="7" t="s">
        <v>963</v>
      </c>
      <c r="I168" s="7" t="s">
        <v>964</v>
      </c>
      <c r="J168" s="7" t="s">
        <v>37</v>
      </c>
      <c r="K168" s="26" t="s">
        <v>270</v>
      </c>
      <c r="L168" s="26" t="s">
        <v>5</v>
      </c>
      <c r="M168" s="7" t="s">
        <v>965</v>
      </c>
      <c r="N168" s="7" t="s">
        <v>966</v>
      </c>
      <c r="O168" s="13" t="s">
        <v>967</v>
      </c>
      <c r="P168" s="13" t="s">
        <v>222</v>
      </c>
      <c r="Q168" s="13" t="s">
        <v>43</v>
      </c>
      <c r="R168" s="17">
        <v>46055</v>
      </c>
      <c r="S168" s="13" t="s">
        <v>45</v>
      </c>
      <c r="T168" s="13" t="s">
        <v>83</v>
      </c>
      <c r="U168" s="13" t="s">
        <v>47</v>
      </c>
    </row>
    <row r="169" spans="5:21" x14ac:dyDescent="0.35">
      <c r="E169" s="2" t="s">
        <v>968</v>
      </c>
      <c r="F169" s="2">
        <v>2702277042</v>
      </c>
      <c r="G169" s="2" t="s">
        <v>969</v>
      </c>
      <c r="H169" s="2" t="s">
        <v>970</v>
      </c>
      <c r="I169" s="2" t="s">
        <v>971</v>
      </c>
      <c r="J169" s="2" t="s">
        <v>257</v>
      </c>
      <c r="K169" s="26" t="s">
        <v>105</v>
      </c>
      <c r="L169" s="26" t="s">
        <v>4</v>
      </c>
      <c r="M169" s="2" t="s">
        <v>972</v>
      </c>
      <c r="N169" s="2" t="s">
        <v>904</v>
      </c>
      <c r="O169" s="2" t="s">
        <v>260</v>
      </c>
      <c r="P169" s="2" t="s">
        <v>260</v>
      </c>
      <c r="Q169" s="2" t="s">
        <v>260</v>
      </c>
      <c r="R169" s="2" t="s">
        <v>260</v>
      </c>
      <c r="S169" s="2" t="s">
        <v>260</v>
      </c>
      <c r="T169" s="2" t="s">
        <v>260</v>
      </c>
      <c r="U169" s="2" t="s">
        <v>72</v>
      </c>
    </row>
    <row r="170" spans="5:21" x14ac:dyDescent="0.35">
      <c r="E170" s="2" t="s">
        <v>973</v>
      </c>
      <c r="F170" s="2">
        <v>2702228904</v>
      </c>
      <c r="G170" s="2" t="s">
        <v>974</v>
      </c>
      <c r="H170" s="2" t="s">
        <v>975</v>
      </c>
      <c r="I170" s="2" t="s">
        <v>976</v>
      </c>
      <c r="J170" s="2" t="s">
        <v>977</v>
      </c>
      <c r="K170" s="26" t="s">
        <v>173</v>
      </c>
      <c r="L170" s="26" t="s">
        <v>7</v>
      </c>
      <c r="M170" s="2" t="s">
        <v>978</v>
      </c>
      <c r="N170" s="2" t="s">
        <v>406</v>
      </c>
      <c r="O170" s="12" t="s">
        <v>979</v>
      </c>
      <c r="P170" s="12" t="s">
        <v>980</v>
      </c>
      <c r="Q170" s="12" t="s">
        <v>260</v>
      </c>
      <c r="R170" s="12" t="s">
        <v>260</v>
      </c>
      <c r="S170" s="12" t="s">
        <v>260</v>
      </c>
      <c r="T170" s="12" t="s">
        <v>260</v>
      </c>
      <c r="U170" s="12" t="s">
        <v>72</v>
      </c>
    </row>
    <row r="171" spans="5:21" x14ac:dyDescent="0.35">
      <c r="E171" s="8" t="s">
        <v>981</v>
      </c>
      <c r="F171" s="8">
        <v>2602071940</v>
      </c>
      <c r="G171" s="8" t="s">
        <v>982</v>
      </c>
      <c r="H171" s="8" t="s">
        <v>983</v>
      </c>
      <c r="I171" s="8">
        <v>6285101687780</v>
      </c>
      <c r="J171" s="8" t="s">
        <v>984</v>
      </c>
      <c r="K171" s="26" t="s">
        <v>105</v>
      </c>
      <c r="L171" s="26" t="s">
        <v>4</v>
      </c>
      <c r="M171" s="8">
        <v>3.61</v>
      </c>
      <c r="N171" s="8">
        <v>100</v>
      </c>
      <c r="O171" s="18" t="s">
        <v>260</v>
      </c>
      <c r="P171" s="18" t="s">
        <v>260</v>
      </c>
      <c r="Q171" s="18" t="s">
        <v>260</v>
      </c>
      <c r="R171" s="18" t="s">
        <v>260</v>
      </c>
      <c r="S171" s="18" t="s">
        <v>260</v>
      </c>
      <c r="T171" s="18" t="s">
        <v>260</v>
      </c>
      <c r="U171" s="13" t="s">
        <v>72</v>
      </c>
    </row>
    <row r="172" spans="5:21" x14ac:dyDescent="0.35">
      <c r="E172" s="6" t="s">
        <v>985</v>
      </c>
      <c r="F172" s="6">
        <v>2501976485</v>
      </c>
      <c r="G172" s="6" t="s">
        <v>986</v>
      </c>
      <c r="H172" s="34" t="s">
        <v>987</v>
      </c>
      <c r="I172" s="6">
        <v>6285974330005</v>
      </c>
      <c r="J172" s="6" t="s">
        <v>988</v>
      </c>
      <c r="K172" s="30" t="s">
        <v>214</v>
      </c>
      <c r="L172" s="30" t="s">
        <v>0</v>
      </c>
      <c r="M172" s="6">
        <v>2.92</v>
      </c>
      <c r="N172" s="6">
        <v>90</v>
      </c>
      <c r="O172" s="5" t="s">
        <v>260</v>
      </c>
      <c r="P172" s="5" t="s">
        <v>260</v>
      </c>
      <c r="Q172" s="5" t="s">
        <v>260</v>
      </c>
      <c r="R172" s="5" t="s">
        <v>260</v>
      </c>
      <c r="S172" s="5" t="s">
        <v>260</v>
      </c>
      <c r="T172" s="5" t="s">
        <v>260</v>
      </c>
      <c r="U172" s="3" t="s">
        <v>72</v>
      </c>
    </row>
  </sheetData>
  <conditionalFormatting sqref="F112">
    <cfRule type="duplicateValues" dxfId="7" priority="1"/>
  </conditionalFormatting>
  <conditionalFormatting sqref="G1:G172">
    <cfRule type="duplicateValues" dxfId="6" priority="4"/>
  </conditionalFormatting>
  <conditionalFormatting sqref="G2:G39">
    <cfRule type="duplicateValues" dxfId="5" priority="3"/>
  </conditionalFormatting>
  <conditionalFormatting sqref="G113:G172 G40:G111">
    <cfRule type="duplicateValues" dxfId="4" priority="2"/>
  </conditionalFormatting>
  <hyperlinks>
    <hyperlink ref="H172" r:id="rId1" xr:uid="{7E579D9A-DE79-4422-B0EA-A528297A376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8654-00DE-4EB4-BE68-F65762DC7883}">
  <dimension ref="A1:C10"/>
  <sheetViews>
    <sheetView workbookViewId="0">
      <selection activeCell="C1" activeCellId="1" sqref="A1:A10 C1:C10"/>
    </sheetView>
  </sheetViews>
  <sheetFormatPr defaultRowHeight="14.5" x14ac:dyDescent="0.35"/>
  <cols>
    <col min="1" max="1" width="10.81640625" bestFit="1" customWidth="1"/>
    <col min="2" max="2" width="43.7265625" bestFit="1" customWidth="1"/>
  </cols>
  <sheetData>
    <row r="1" spans="1:3" x14ac:dyDescent="0.35">
      <c r="A1">
        <v>2602140364</v>
      </c>
      <c r="B1" t="s">
        <v>991</v>
      </c>
      <c r="C1" s="35" t="s">
        <v>993</v>
      </c>
    </row>
    <row r="2" spans="1:3" x14ac:dyDescent="0.35">
      <c r="A2">
        <v>2501981711</v>
      </c>
      <c r="B2" t="s">
        <v>992</v>
      </c>
      <c r="C2" s="35" t="str">
        <f>C1</f>
        <v>D6132</v>
      </c>
    </row>
    <row r="3" spans="1:3" x14ac:dyDescent="0.35">
      <c r="A3">
        <v>2702233311</v>
      </c>
      <c r="C3" s="35" t="str">
        <f t="shared" ref="C3:C10" si="0">C2</f>
        <v>D6132</v>
      </c>
    </row>
    <row r="4" spans="1:3" x14ac:dyDescent="0.35">
      <c r="A4">
        <v>2602104195</v>
      </c>
      <c r="B4" t="s">
        <v>990</v>
      </c>
      <c r="C4" s="35" t="str">
        <f t="shared" si="0"/>
        <v>D6132</v>
      </c>
    </row>
    <row r="5" spans="1:3" x14ac:dyDescent="0.35">
      <c r="A5">
        <v>2501960221</v>
      </c>
      <c r="B5" t="s">
        <v>989</v>
      </c>
      <c r="C5" s="35" t="str">
        <f t="shared" si="0"/>
        <v>D6132</v>
      </c>
    </row>
    <row r="6" spans="1:3" x14ac:dyDescent="0.35">
      <c r="A6">
        <v>2702379473</v>
      </c>
      <c r="B6" t="s">
        <v>879</v>
      </c>
      <c r="C6" s="35" t="str">
        <f t="shared" si="0"/>
        <v>D6132</v>
      </c>
    </row>
    <row r="7" spans="1:3" x14ac:dyDescent="0.35">
      <c r="A7">
        <v>2702328264</v>
      </c>
      <c r="B7" t="s">
        <v>396</v>
      </c>
      <c r="C7" s="35" t="str">
        <f t="shared" si="0"/>
        <v>D6132</v>
      </c>
    </row>
    <row r="8" spans="1:3" x14ac:dyDescent="0.35">
      <c r="A8">
        <v>2702324253</v>
      </c>
      <c r="B8" t="s">
        <v>764</v>
      </c>
      <c r="C8" s="35" t="str">
        <f t="shared" si="0"/>
        <v>D6132</v>
      </c>
    </row>
    <row r="9" spans="1:3" x14ac:dyDescent="0.35">
      <c r="A9">
        <v>2702327583</v>
      </c>
      <c r="B9" t="s">
        <v>254</v>
      </c>
      <c r="C9" s="35" t="str">
        <f t="shared" si="0"/>
        <v>D6132</v>
      </c>
    </row>
    <row r="10" spans="1:3" x14ac:dyDescent="0.35">
      <c r="A10">
        <v>2702262620</v>
      </c>
      <c r="B10" t="s">
        <v>871</v>
      </c>
      <c r="C10" s="35" t="str">
        <f t="shared" si="0"/>
        <v>D6132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C8EA-6273-428C-A026-71503FDB9F7C}">
  <dimension ref="A1:U172"/>
  <sheetViews>
    <sheetView workbookViewId="0">
      <selection activeCell="C12" sqref="C12"/>
    </sheetView>
  </sheetViews>
  <sheetFormatPr defaultRowHeight="14.5" x14ac:dyDescent="0.35"/>
  <cols>
    <col min="1" max="1" width="10.81640625" bestFit="1" customWidth="1"/>
  </cols>
  <sheetData>
    <row r="1" spans="1:21" x14ac:dyDescent="0.35">
      <c r="A1" s="36">
        <v>2702224162</v>
      </c>
      <c r="B1" t="str">
        <f>VLOOKUP(A1,$F$1:$K$172,6,FALSE)</f>
        <v>D7187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 x14ac:dyDescent="0.35">
      <c r="A2" s="36">
        <v>2702227864</v>
      </c>
      <c r="B2" t="str">
        <f t="shared" ref="B2:B14" si="0">VLOOKUP(A2,$F$1:$K$172,6,FALSE)</f>
        <v>D7055</v>
      </c>
      <c r="E2" s="7" t="s">
        <v>33</v>
      </c>
      <c r="F2" s="7">
        <v>2702232990</v>
      </c>
      <c r="G2" s="7" t="s">
        <v>34</v>
      </c>
      <c r="H2" s="7" t="s">
        <v>35</v>
      </c>
      <c r="I2" s="7" t="s">
        <v>36</v>
      </c>
      <c r="J2" s="7" t="s">
        <v>37</v>
      </c>
      <c r="K2" s="26" t="s">
        <v>38</v>
      </c>
      <c r="L2" s="26" t="s">
        <v>12</v>
      </c>
      <c r="M2" s="7" t="s">
        <v>39</v>
      </c>
      <c r="N2" s="7" t="s">
        <v>40</v>
      </c>
      <c r="O2" s="7" t="s">
        <v>41</v>
      </c>
      <c r="P2" s="7" t="s">
        <v>42</v>
      </c>
      <c r="Q2" s="7" t="s">
        <v>43</v>
      </c>
      <c r="R2" s="7" t="s">
        <v>44</v>
      </c>
      <c r="S2" s="7" t="s">
        <v>45</v>
      </c>
      <c r="T2" s="7" t="s">
        <v>46</v>
      </c>
      <c r="U2" s="7" t="s">
        <v>47</v>
      </c>
    </row>
    <row r="3" spans="1:21" x14ac:dyDescent="0.35">
      <c r="A3" s="36">
        <v>2702228021</v>
      </c>
      <c r="B3" t="str">
        <f t="shared" si="0"/>
        <v>D7055</v>
      </c>
      <c r="E3" s="2" t="s">
        <v>48</v>
      </c>
      <c r="F3" s="2">
        <v>2702227901</v>
      </c>
      <c r="G3" s="2" t="s">
        <v>49</v>
      </c>
      <c r="H3" s="2" t="s">
        <v>50</v>
      </c>
      <c r="I3" s="2" t="s">
        <v>51</v>
      </c>
      <c r="J3" s="2" t="s">
        <v>37</v>
      </c>
      <c r="K3" s="26" t="s">
        <v>52</v>
      </c>
      <c r="L3" s="26" t="s">
        <v>2</v>
      </c>
      <c r="M3" s="2" t="s">
        <v>53</v>
      </c>
      <c r="N3" s="2" t="s">
        <v>54</v>
      </c>
      <c r="O3" s="12" t="s">
        <v>55</v>
      </c>
      <c r="P3" s="12" t="s">
        <v>56</v>
      </c>
      <c r="Q3" s="12" t="s">
        <v>43</v>
      </c>
      <c r="R3" s="12" t="s">
        <v>44</v>
      </c>
      <c r="S3" s="12" t="s">
        <v>45</v>
      </c>
      <c r="T3" s="12" t="s">
        <v>46</v>
      </c>
      <c r="U3" s="12" t="s">
        <v>47</v>
      </c>
    </row>
    <row r="4" spans="1:21" x14ac:dyDescent="0.35">
      <c r="A4" s="36">
        <v>2702228141</v>
      </c>
      <c r="B4" t="str">
        <f t="shared" si="0"/>
        <v>D7055</v>
      </c>
      <c r="E4" s="7" t="s">
        <v>57</v>
      </c>
      <c r="F4" s="7">
        <v>2702227933</v>
      </c>
      <c r="G4" s="7" t="s">
        <v>58</v>
      </c>
      <c r="H4" s="7" t="s">
        <v>59</v>
      </c>
      <c r="I4" s="7" t="s">
        <v>60</v>
      </c>
      <c r="J4" s="7" t="s">
        <v>61</v>
      </c>
      <c r="K4" s="29" t="s">
        <v>62</v>
      </c>
      <c r="L4" s="29" t="s">
        <v>8</v>
      </c>
      <c r="M4" s="7" t="s">
        <v>63</v>
      </c>
      <c r="N4" s="7" t="s">
        <v>40</v>
      </c>
      <c r="O4" s="13" t="s">
        <v>64</v>
      </c>
      <c r="P4" s="13" t="s">
        <v>65</v>
      </c>
      <c r="Q4" s="13" t="s">
        <v>43</v>
      </c>
      <c r="R4" s="17">
        <v>46055</v>
      </c>
      <c r="S4" s="17">
        <v>46420</v>
      </c>
      <c r="T4" s="13" t="s">
        <v>66</v>
      </c>
      <c r="U4" s="13" t="s">
        <v>47</v>
      </c>
    </row>
    <row r="5" spans="1:21" x14ac:dyDescent="0.35">
      <c r="A5" s="36">
        <v>2702260155</v>
      </c>
      <c r="B5" t="str">
        <f t="shared" si="0"/>
        <v>D5918</v>
      </c>
      <c r="E5" s="2" t="s">
        <v>67</v>
      </c>
      <c r="F5" s="2">
        <v>2702273315</v>
      </c>
      <c r="G5" s="2" t="s">
        <v>68</v>
      </c>
      <c r="H5" s="2" t="s">
        <v>69</v>
      </c>
      <c r="I5" s="2" t="s">
        <v>70</v>
      </c>
      <c r="J5" s="2" t="s">
        <v>37</v>
      </c>
      <c r="K5" s="26" t="s">
        <v>38</v>
      </c>
      <c r="L5" s="26" t="s">
        <v>12</v>
      </c>
      <c r="M5" s="2" t="s">
        <v>63</v>
      </c>
      <c r="N5" s="2" t="s">
        <v>54</v>
      </c>
      <c r="O5" s="2" t="s">
        <v>41</v>
      </c>
      <c r="P5" s="2" t="s">
        <v>71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72</v>
      </c>
    </row>
    <row r="6" spans="1:21" x14ac:dyDescent="0.35">
      <c r="A6" s="36">
        <v>2702262431</v>
      </c>
      <c r="B6" t="str">
        <f t="shared" si="0"/>
        <v>D7187</v>
      </c>
      <c r="E6" s="2" t="s">
        <v>73</v>
      </c>
      <c r="F6" s="2">
        <v>2702303330</v>
      </c>
      <c r="G6" s="2" t="s">
        <v>74</v>
      </c>
      <c r="H6" s="2" t="s">
        <v>75</v>
      </c>
      <c r="I6" s="2" t="s">
        <v>76</v>
      </c>
      <c r="J6" s="2" t="s">
        <v>37</v>
      </c>
      <c r="K6" s="29" t="s">
        <v>77</v>
      </c>
      <c r="L6" s="29" t="s">
        <v>13</v>
      </c>
      <c r="M6" s="2" t="s">
        <v>63</v>
      </c>
      <c r="N6" s="2" t="s">
        <v>54</v>
      </c>
      <c r="O6" s="12" t="s">
        <v>78</v>
      </c>
      <c r="P6" s="12" t="s">
        <v>79</v>
      </c>
      <c r="Q6" s="12" t="s">
        <v>80</v>
      </c>
      <c r="R6" s="12" t="s">
        <v>81</v>
      </c>
      <c r="S6" s="12" t="s">
        <v>82</v>
      </c>
      <c r="T6" s="12" t="s">
        <v>83</v>
      </c>
      <c r="U6" s="12" t="s">
        <v>72</v>
      </c>
    </row>
    <row r="7" spans="1:21" x14ac:dyDescent="0.35">
      <c r="A7" s="36">
        <v>2702272193</v>
      </c>
      <c r="B7" t="str">
        <f t="shared" si="0"/>
        <v>D5918</v>
      </c>
      <c r="E7" s="7" t="s">
        <v>84</v>
      </c>
      <c r="F7" s="7">
        <v>2702331782</v>
      </c>
      <c r="G7" s="7" t="s">
        <v>85</v>
      </c>
      <c r="H7" s="7" t="s">
        <v>86</v>
      </c>
      <c r="I7" s="7" t="s">
        <v>87</v>
      </c>
      <c r="J7" s="7" t="s">
        <v>37</v>
      </c>
      <c r="K7" s="26" t="s">
        <v>52</v>
      </c>
      <c r="L7" s="26" t="s">
        <v>2</v>
      </c>
      <c r="M7" s="7" t="s">
        <v>88</v>
      </c>
      <c r="N7" s="7" t="s">
        <v>40</v>
      </c>
      <c r="O7" s="11" t="s">
        <v>89</v>
      </c>
      <c r="P7" s="11" t="s">
        <v>71</v>
      </c>
      <c r="Q7" s="11" t="s">
        <v>43</v>
      </c>
      <c r="R7" s="11" t="s">
        <v>44</v>
      </c>
      <c r="S7" s="11" t="s">
        <v>45</v>
      </c>
      <c r="T7" s="11" t="s">
        <v>83</v>
      </c>
      <c r="U7" s="11" t="s">
        <v>72</v>
      </c>
    </row>
    <row r="8" spans="1:21" x14ac:dyDescent="0.35">
      <c r="A8" s="36">
        <v>2702277042</v>
      </c>
      <c r="B8" t="str">
        <f t="shared" si="0"/>
        <v>D6532</v>
      </c>
      <c r="E8" s="7" t="s">
        <v>90</v>
      </c>
      <c r="F8" s="7">
        <v>2702227946</v>
      </c>
      <c r="G8" s="7" t="s">
        <v>91</v>
      </c>
      <c r="H8" s="7" t="s">
        <v>92</v>
      </c>
      <c r="I8" s="7" t="s">
        <v>93</v>
      </c>
      <c r="J8" s="7" t="s">
        <v>37</v>
      </c>
      <c r="K8" s="26" t="s">
        <v>52</v>
      </c>
      <c r="L8" s="26" t="s">
        <v>2</v>
      </c>
      <c r="M8" s="7" t="s">
        <v>94</v>
      </c>
      <c r="N8" s="7" t="s">
        <v>54</v>
      </c>
      <c r="O8" s="14" t="s">
        <v>95</v>
      </c>
      <c r="P8" s="14" t="s">
        <v>56</v>
      </c>
      <c r="Q8" s="14" t="s">
        <v>43</v>
      </c>
      <c r="R8" s="15">
        <v>46055</v>
      </c>
      <c r="S8" s="15">
        <v>46420</v>
      </c>
      <c r="T8" s="14" t="s">
        <v>46</v>
      </c>
      <c r="U8" s="14" t="s">
        <v>47</v>
      </c>
    </row>
    <row r="9" spans="1:21" x14ac:dyDescent="0.35">
      <c r="A9" s="36">
        <v>2702280421</v>
      </c>
      <c r="B9" t="str">
        <f t="shared" si="0"/>
        <v>D7187</v>
      </c>
      <c r="E9" s="7" t="s">
        <v>96</v>
      </c>
      <c r="F9" s="7">
        <v>2702272382</v>
      </c>
      <c r="G9" s="7" t="s">
        <v>97</v>
      </c>
      <c r="H9" s="7" t="s">
        <v>98</v>
      </c>
      <c r="I9" s="7" t="s">
        <v>99</v>
      </c>
      <c r="J9" s="7" t="s">
        <v>37</v>
      </c>
      <c r="K9" s="26" t="s">
        <v>38</v>
      </c>
      <c r="L9" s="26" t="s">
        <v>12</v>
      </c>
      <c r="M9" s="7" t="s">
        <v>100</v>
      </c>
      <c r="N9" s="7" t="s">
        <v>54</v>
      </c>
      <c r="O9" s="7" t="s">
        <v>41</v>
      </c>
      <c r="P9" s="7" t="s">
        <v>42</v>
      </c>
      <c r="Q9" s="7" t="s">
        <v>43</v>
      </c>
      <c r="R9" s="7" t="s">
        <v>44</v>
      </c>
      <c r="S9" s="7" t="s">
        <v>45</v>
      </c>
      <c r="T9" s="7" t="s">
        <v>46</v>
      </c>
      <c r="U9" s="7" t="s">
        <v>72</v>
      </c>
    </row>
    <row r="10" spans="1:21" x14ac:dyDescent="0.35">
      <c r="A10" s="36">
        <v>2702283171</v>
      </c>
      <c r="B10" t="str">
        <f t="shared" si="0"/>
        <v>D6532</v>
      </c>
      <c r="E10" s="2" t="s">
        <v>101</v>
      </c>
      <c r="F10" s="2">
        <v>2702247550</v>
      </c>
      <c r="G10" s="2" t="s">
        <v>102</v>
      </c>
      <c r="H10" s="2" t="s">
        <v>103</v>
      </c>
      <c r="I10" s="2" t="s">
        <v>104</v>
      </c>
      <c r="J10" s="2" t="s">
        <v>37</v>
      </c>
      <c r="K10" s="26" t="s">
        <v>105</v>
      </c>
      <c r="L10" s="26" t="s">
        <v>4</v>
      </c>
      <c r="M10" s="2" t="s">
        <v>106</v>
      </c>
      <c r="N10" s="2" t="s">
        <v>40</v>
      </c>
      <c r="O10" s="3" t="s">
        <v>107</v>
      </c>
      <c r="P10" s="3" t="s">
        <v>108</v>
      </c>
      <c r="Q10" s="3" t="s">
        <v>109</v>
      </c>
      <c r="R10" s="4">
        <v>46055</v>
      </c>
      <c r="S10" s="3" t="s">
        <v>110</v>
      </c>
      <c r="T10" s="3" t="s">
        <v>46</v>
      </c>
      <c r="U10" s="3" t="s">
        <v>47</v>
      </c>
    </row>
    <row r="11" spans="1:21" x14ac:dyDescent="0.35">
      <c r="A11" s="36">
        <v>2702301205</v>
      </c>
      <c r="B11" t="str">
        <f t="shared" si="0"/>
        <v>D7187</v>
      </c>
      <c r="E11" s="7" t="s">
        <v>111</v>
      </c>
      <c r="F11" s="7">
        <v>2702355574</v>
      </c>
      <c r="G11" s="7" t="s">
        <v>112</v>
      </c>
      <c r="H11" s="7" t="s">
        <v>113</v>
      </c>
      <c r="I11" s="7" t="s">
        <v>114</v>
      </c>
      <c r="J11" s="7" t="s">
        <v>37</v>
      </c>
      <c r="K11" s="26" t="s">
        <v>77</v>
      </c>
      <c r="L11" s="26" t="s">
        <v>13</v>
      </c>
      <c r="M11" s="7" t="s">
        <v>106</v>
      </c>
      <c r="N11" s="7" t="s">
        <v>54</v>
      </c>
      <c r="O11" s="11" t="s">
        <v>78</v>
      </c>
      <c r="P11" s="11" t="s">
        <v>79</v>
      </c>
      <c r="Q11" s="11" t="s">
        <v>80</v>
      </c>
      <c r="R11" s="11" t="s">
        <v>81</v>
      </c>
      <c r="S11" s="11" t="s">
        <v>82</v>
      </c>
      <c r="T11" s="11" t="s">
        <v>83</v>
      </c>
      <c r="U11" s="11" t="s">
        <v>72</v>
      </c>
    </row>
    <row r="12" spans="1:21" x14ac:dyDescent="0.35">
      <c r="A12" s="36">
        <v>2702345011</v>
      </c>
      <c r="B12" t="str">
        <f t="shared" si="0"/>
        <v>D7055</v>
      </c>
      <c r="E12" s="7" t="s">
        <v>115</v>
      </c>
      <c r="F12" s="7">
        <v>2702260086</v>
      </c>
      <c r="G12" s="7" t="s">
        <v>116</v>
      </c>
      <c r="H12" s="7" t="s">
        <v>117</v>
      </c>
      <c r="I12" s="7" t="s">
        <v>118</v>
      </c>
      <c r="J12" s="7" t="s">
        <v>37</v>
      </c>
      <c r="K12" s="26" t="s">
        <v>52</v>
      </c>
      <c r="L12" s="26" t="s">
        <v>2</v>
      </c>
      <c r="M12" s="7" t="s">
        <v>119</v>
      </c>
      <c r="N12" s="7" t="s">
        <v>40</v>
      </c>
      <c r="O12" s="13" t="s">
        <v>120</v>
      </c>
      <c r="P12" s="13" t="s">
        <v>121</v>
      </c>
      <c r="Q12" s="13" t="s">
        <v>43</v>
      </c>
      <c r="R12" s="17">
        <v>46055</v>
      </c>
      <c r="S12" s="17">
        <v>46420</v>
      </c>
      <c r="T12" s="13" t="s">
        <v>122</v>
      </c>
      <c r="U12" s="13" t="s">
        <v>47</v>
      </c>
    </row>
    <row r="13" spans="1:21" x14ac:dyDescent="0.35">
      <c r="A13" s="36">
        <v>2702362024</v>
      </c>
      <c r="B13" t="str">
        <f t="shared" si="0"/>
        <v>D7187</v>
      </c>
      <c r="E13" s="7" t="s">
        <v>123</v>
      </c>
      <c r="F13" s="7">
        <v>2702228236</v>
      </c>
      <c r="G13" s="7" t="s">
        <v>124</v>
      </c>
      <c r="H13" s="7" t="s">
        <v>125</v>
      </c>
      <c r="I13" s="7" t="s">
        <v>126</v>
      </c>
      <c r="J13" s="7" t="s">
        <v>37</v>
      </c>
      <c r="K13" s="26" t="s">
        <v>52</v>
      </c>
      <c r="L13" s="26" t="s">
        <v>2</v>
      </c>
      <c r="M13" s="7" t="s">
        <v>119</v>
      </c>
      <c r="N13" s="7" t="s">
        <v>54</v>
      </c>
      <c r="O13" s="14" t="s">
        <v>127</v>
      </c>
      <c r="P13" s="14" t="s">
        <v>121</v>
      </c>
      <c r="Q13" s="14" t="s">
        <v>109</v>
      </c>
      <c r="R13" s="15">
        <v>46055</v>
      </c>
      <c r="S13" s="15">
        <v>46061</v>
      </c>
      <c r="T13" s="14" t="s">
        <v>46</v>
      </c>
      <c r="U13" s="14" t="s">
        <v>47</v>
      </c>
    </row>
    <row r="14" spans="1:21" x14ac:dyDescent="0.35">
      <c r="A14" s="36">
        <v>2702379100</v>
      </c>
      <c r="B14" t="str">
        <f t="shared" si="0"/>
        <v>D5918</v>
      </c>
      <c r="E14" s="7" t="s">
        <v>128</v>
      </c>
      <c r="F14" s="7">
        <v>2702261580</v>
      </c>
      <c r="G14" s="7" t="s">
        <v>129</v>
      </c>
      <c r="H14" s="7" t="s">
        <v>130</v>
      </c>
      <c r="I14" s="7" t="s">
        <v>131</v>
      </c>
      <c r="J14" s="7" t="s">
        <v>37</v>
      </c>
      <c r="K14" s="26" t="s">
        <v>132</v>
      </c>
      <c r="L14" s="26" t="s">
        <v>9</v>
      </c>
      <c r="M14" s="7" t="s">
        <v>119</v>
      </c>
      <c r="N14" s="7" t="s">
        <v>40</v>
      </c>
      <c r="O14" s="7" t="s">
        <v>133</v>
      </c>
      <c r="P14" s="7" t="s">
        <v>134</v>
      </c>
      <c r="Q14" s="7" t="s">
        <v>43</v>
      </c>
      <c r="R14" s="7" t="s">
        <v>44</v>
      </c>
      <c r="S14" s="7" t="s">
        <v>45</v>
      </c>
      <c r="T14" s="7" t="s">
        <v>46</v>
      </c>
      <c r="U14" s="7" t="s">
        <v>47</v>
      </c>
    </row>
    <row r="15" spans="1:21" x14ac:dyDescent="0.35">
      <c r="A15" s="36">
        <v>2502038476</v>
      </c>
      <c r="B15" t="s">
        <v>297</v>
      </c>
      <c r="E15" s="7" t="s">
        <v>135</v>
      </c>
      <c r="F15" s="7">
        <v>2702228274</v>
      </c>
      <c r="G15" s="7" t="s">
        <v>136</v>
      </c>
      <c r="H15" s="7" t="s">
        <v>137</v>
      </c>
      <c r="I15" s="7" t="s">
        <v>138</v>
      </c>
      <c r="J15" s="7" t="s">
        <v>37</v>
      </c>
      <c r="K15" s="26" t="s">
        <v>52</v>
      </c>
      <c r="L15" s="26" t="s">
        <v>2</v>
      </c>
      <c r="M15" s="7" t="s">
        <v>139</v>
      </c>
      <c r="N15" s="7" t="s">
        <v>40</v>
      </c>
      <c r="O15" s="11" t="s">
        <v>140</v>
      </c>
      <c r="P15" s="11" t="s">
        <v>71</v>
      </c>
      <c r="Q15" s="11" t="s">
        <v>43</v>
      </c>
      <c r="R15" s="11" t="s">
        <v>44</v>
      </c>
      <c r="S15" s="11" t="s">
        <v>45</v>
      </c>
      <c r="T15" s="11" t="s">
        <v>46</v>
      </c>
      <c r="U15" s="11" t="s">
        <v>47</v>
      </c>
    </row>
    <row r="16" spans="1:21" x14ac:dyDescent="0.35">
      <c r="A16" s="36"/>
      <c r="E16" s="7" t="s">
        <v>141</v>
      </c>
      <c r="F16" s="7">
        <v>2702232321</v>
      </c>
      <c r="G16" s="7" t="s">
        <v>142</v>
      </c>
      <c r="H16" s="7" t="s">
        <v>143</v>
      </c>
      <c r="I16" s="7" t="s">
        <v>144</v>
      </c>
      <c r="J16" s="7" t="s">
        <v>37</v>
      </c>
      <c r="K16" s="26" t="s">
        <v>77</v>
      </c>
      <c r="L16" s="26" t="s">
        <v>13</v>
      </c>
      <c r="M16" s="7" t="s">
        <v>145</v>
      </c>
      <c r="N16" s="7" t="s">
        <v>54</v>
      </c>
      <c r="O16" s="11" t="s">
        <v>78</v>
      </c>
      <c r="P16" s="11" t="s">
        <v>79</v>
      </c>
      <c r="Q16" s="11" t="s">
        <v>80</v>
      </c>
      <c r="R16" s="11" t="s">
        <v>81</v>
      </c>
      <c r="S16" s="11" t="s">
        <v>82</v>
      </c>
      <c r="T16" s="11" t="s">
        <v>83</v>
      </c>
      <c r="U16" s="11" t="s">
        <v>72</v>
      </c>
    </row>
    <row r="17" spans="1:21" x14ac:dyDescent="0.35">
      <c r="A17" s="36"/>
      <c r="E17" s="2" t="s">
        <v>146</v>
      </c>
      <c r="F17" s="2">
        <v>2702228223</v>
      </c>
      <c r="G17" s="2" t="s">
        <v>147</v>
      </c>
      <c r="H17" s="2" t="s">
        <v>148</v>
      </c>
      <c r="I17" s="2" t="s">
        <v>149</v>
      </c>
      <c r="J17" s="2" t="s">
        <v>37</v>
      </c>
      <c r="K17" s="26" t="s">
        <v>150</v>
      </c>
      <c r="L17" s="26" t="s">
        <v>6</v>
      </c>
      <c r="M17" s="2" t="s">
        <v>151</v>
      </c>
      <c r="N17" s="2" t="s">
        <v>54</v>
      </c>
      <c r="O17" s="2" t="s">
        <v>152</v>
      </c>
      <c r="P17" s="2" t="s">
        <v>56</v>
      </c>
      <c r="Q17" s="2" t="s">
        <v>43</v>
      </c>
      <c r="R17" s="2" t="s">
        <v>44</v>
      </c>
      <c r="S17" s="2" t="s">
        <v>153</v>
      </c>
      <c r="T17" s="2" t="s">
        <v>122</v>
      </c>
      <c r="U17" s="2" t="s">
        <v>47</v>
      </c>
    </row>
    <row r="18" spans="1:21" x14ac:dyDescent="0.35">
      <c r="A18" s="36"/>
      <c r="E18" s="2" t="s">
        <v>154</v>
      </c>
      <c r="F18" s="2">
        <v>2702262993</v>
      </c>
      <c r="G18" s="2" t="s">
        <v>155</v>
      </c>
      <c r="H18" s="2" t="s">
        <v>156</v>
      </c>
      <c r="I18" s="2" t="s">
        <v>157</v>
      </c>
      <c r="J18" s="2" t="s">
        <v>37</v>
      </c>
      <c r="K18" s="26" t="s">
        <v>158</v>
      </c>
      <c r="L18" s="26" t="s">
        <v>11</v>
      </c>
      <c r="M18" s="2" t="s">
        <v>159</v>
      </c>
      <c r="N18" s="2" t="s">
        <v>54</v>
      </c>
      <c r="O18" s="3" t="s">
        <v>160</v>
      </c>
      <c r="P18" s="3" t="s">
        <v>161</v>
      </c>
      <c r="Q18" s="3" t="s">
        <v>43</v>
      </c>
      <c r="R18" s="4">
        <v>46055</v>
      </c>
      <c r="S18" s="3" t="s">
        <v>45</v>
      </c>
      <c r="T18" s="3" t="s">
        <v>46</v>
      </c>
      <c r="U18" s="3" t="s">
        <v>47</v>
      </c>
    </row>
    <row r="19" spans="1:21" x14ac:dyDescent="0.35">
      <c r="E19" s="7" t="s">
        <v>162</v>
      </c>
      <c r="F19" s="7">
        <v>2702327684</v>
      </c>
      <c r="G19" s="7" t="s">
        <v>163</v>
      </c>
      <c r="H19" s="7" t="s">
        <v>164</v>
      </c>
      <c r="I19" s="7" t="s">
        <v>165</v>
      </c>
      <c r="J19" s="7" t="s">
        <v>37</v>
      </c>
      <c r="K19" s="26" t="s">
        <v>158</v>
      </c>
      <c r="L19" s="26" t="s">
        <v>11</v>
      </c>
      <c r="M19" s="7" t="s">
        <v>159</v>
      </c>
      <c r="N19" s="7" t="s">
        <v>54</v>
      </c>
      <c r="O19" s="7" t="s">
        <v>166</v>
      </c>
      <c r="P19" s="7" t="s">
        <v>71</v>
      </c>
      <c r="Q19" s="7" t="s">
        <v>43</v>
      </c>
      <c r="R19" s="7" t="s">
        <v>167</v>
      </c>
      <c r="S19" s="7" t="s">
        <v>168</v>
      </c>
      <c r="T19" s="7" t="s">
        <v>46</v>
      </c>
      <c r="U19" s="7" t="s">
        <v>72</v>
      </c>
    </row>
    <row r="20" spans="1:21" x14ac:dyDescent="0.35">
      <c r="E20" s="2" t="s">
        <v>169</v>
      </c>
      <c r="F20" s="2">
        <v>2702245431</v>
      </c>
      <c r="G20" s="2" t="s">
        <v>170</v>
      </c>
      <c r="H20" s="2" t="s">
        <v>171</v>
      </c>
      <c r="I20" s="2" t="s">
        <v>172</v>
      </c>
      <c r="J20" s="2" t="s">
        <v>37</v>
      </c>
      <c r="K20" s="26" t="s">
        <v>173</v>
      </c>
      <c r="L20" s="26" t="s">
        <v>7</v>
      </c>
      <c r="M20" s="2" t="s">
        <v>174</v>
      </c>
      <c r="N20" s="2" t="s">
        <v>54</v>
      </c>
      <c r="O20" s="2" t="s">
        <v>175</v>
      </c>
      <c r="P20" s="2" t="s">
        <v>176</v>
      </c>
      <c r="Q20" s="2" t="s">
        <v>43</v>
      </c>
      <c r="R20" s="2" t="s">
        <v>44</v>
      </c>
      <c r="S20" s="2" t="s">
        <v>45</v>
      </c>
      <c r="T20" s="2" t="s">
        <v>83</v>
      </c>
      <c r="U20" s="2" t="s">
        <v>47</v>
      </c>
    </row>
    <row r="21" spans="1:21" x14ac:dyDescent="0.35">
      <c r="E21" s="7" t="s">
        <v>177</v>
      </c>
      <c r="F21" s="7">
        <v>2702341890</v>
      </c>
      <c r="G21" s="7" t="s">
        <v>178</v>
      </c>
      <c r="H21" s="7" t="s">
        <v>179</v>
      </c>
      <c r="I21" s="7" t="s">
        <v>180</v>
      </c>
      <c r="J21" s="7" t="s">
        <v>37</v>
      </c>
      <c r="K21" s="26" t="s">
        <v>132</v>
      </c>
      <c r="L21" s="26" t="s">
        <v>9</v>
      </c>
      <c r="M21" s="7" t="s">
        <v>174</v>
      </c>
      <c r="N21" s="7" t="s">
        <v>54</v>
      </c>
      <c r="O21" s="11" t="s">
        <v>133</v>
      </c>
      <c r="P21" s="11" t="s">
        <v>134</v>
      </c>
      <c r="Q21" s="11" t="s">
        <v>43</v>
      </c>
      <c r="R21" s="11" t="s">
        <v>44</v>
      </c>
      <c r="S21" s="11" t="s">
        <v>45</v>
      </c>
      <c r="T21" s="11" t="s">
        <v>46</v>
      </c>
      <c r="U21" s="11" t="s">
        <v>47</v>
      </c>
    </row>
    <row r="22" spans="1:21" x14ac:dyDescent="0.35">
      <c r="E22" s="7" t="s">
        <v>181</v>
      </c>
      <c r="F22" s="7">
        <v>2702352250</v>
      </c>
      <c r="G22" s="7" t="s">
        <v>182</v>
      </c>
      <c r="H22" s="7" t="s">
        <v>183</v>
      </c>
      <c r="I22" s="7" t="s">
        <v>184</v>
      </c>
      <c r="J22" s="7" t="s">
        <v>37</v>
      </c>
      <c r="K22" s="29" t="s">
        <v>77</v>
      </c>
      <c r="L22" s="29" t="s">
        <v>13</v>
      </c>
      <c r="M22" s="7" t="s">
        <v>185</v>
      </c>
      <c r="N22" s="7" t="s">
        <v>54</v>
      </c>
      <c r="O22" s="7" t="s">
        <v>78</v>
      </c>
      <c r="P22" s="7" t="s">
        <v>79</v>
      </c>
      <c r="Q22" s="7" t="s">
        <v>80</v>
      </c>
      <c r="R22" s="7" t="s">
        <v>186</v>
      </c>
      <c r="S22" s="7" t="s">
        <v>82</v>
      </c>
      <c r="T22" s="7" t="s">
        <v>46</v>
      </c>
      <c r="U22" s="7" t="s">
        <v>72</v>
      </c>
    </row>
    <row r="23" spans="1:21" x14ac:dyDescent="0.35">
      <c r="E23" s="2" t="s">
        <v>187</v>
      </c>
      <c r="F23" s="2">
        <v>2702308810</v>
      </c>
      <c r="G23" s="2" t="s">
        <v>188</v>
      </c>
      <c r="H23" s="2" t="s">
        <v>189</v>
      </c>
      <c r="I23" s="2" t="s">
        <v>190</v>
      </c>
      <c r="J23" s="2" t="s">
        <v>37</v>
      </c>
      <c r="K23" s="26" t="s">
        <v>62</v>
      </c>
      <c r="L23" s="26" t="s">
        <v>8</v>
      </c>
      <c r="M23" s="2" t="s">
        <v>191</v>
      </c>
      <c r="N23" s="2" t="s">
        <v>54</v>
      </c>
      <c r="O23" s="3" t="s">
        <v>192</v>
      </c>
      <c r="P23" s="3" t="s">
        <v>193</v>
      </c>
      <c r="Q23" s="3" t="s">
        <v>43</v>
      </c>
      <c r="R23" s="4">
        <v>46055</v>
      </c>
      <c r="S23" s="4">
        <v>46389</v>
      </c>
      <c r="T23" s="3" t="s">
        <v>46</v>
      </c>
      <c r="U23" s="3" t="s">
        <v>47</v>
      </c>
    </row>
    <row r="24" spans="1:21" x14ac:dyDescent="0.35">
      <c r="E24" s="7" t="s">
        <v>194</v>
      </c>
      <c r="F24" s="7">
        <v>2702303362</v>
      </c>
      <c r="G24" s="7" t="s">
        <v>195</v>
      </c>
      <c r="H24" s="7" t="s">
        <v>196</v>
      </c>
      <c r="I24" s="7" t="s">
        <v>197</v>
      </c>
      <c r="J24" s="7" t="s">
        <v>37</v>
      </c>
      <c r="K24" s="26" t="s">
        <v>173</v>
      </c>
      <c r="L24" s="26" t="s">
        <v>7</v>
      </c>
      <c r="M24" s="7" t="s">
        <v>198</v>
      </c>
      <c r="N24" s="7" t="s">
        <v>40</v>
      </c>
      <c r="O24" s="7" t="s">
        <v>199</v>
      </c>
      <c r="P24" s="7" t="s">
        <v>200</v>
      </c>
      <c r="Q24" s="7" t="s">
        <v>43</v>
      </c>
      <c r="R24" s="7" t="s">
        <v>44</v>
      </c>
      <c r="S24" s="7" t="s">
        <v>45</v>
      </c>
      <c r="T24" s="7" t="s">
        <v>46</v>
      </c>
      <c r="U24" s="7" t="s">
        <v>47</v>
      </c>
    </row>
    <row r="25" spans="1:21" x14ac:dyDescent="0.35">
      <c r="E25" s="7" t="s">
        <v>201</v>
      </c>
      <c r="F25" s="7">
        <v>2702234466</v>
      </c>
      <c r="G25" s="7" t="s">
        <v>202</v>
      </c>
      <c r="H25" s="7" t="s">
        <v>203</v>
      </c>
      <c r="I25" s="7" t="s">
        <v>204</v>
      </c>
      <c r="J25" s="7" t="s">
        <v>37</v>
      </c>
      <c r="K25" s="29" t="s">
        <v>77</v>
      </c>
      <c r="L25" s="29" t="s">
        <v>13</v>
      </c>
      <c r="M25" s="7" t="s">
        <v>205</v>
      </c>
      <c r="N25" s="7" t="s">
        <v>54</v>
      </c>
      <c r="O25" s="7" t="s">
        <v>78</v>
      </c>
      <c r="P25" s="7" t="s">
        <v>79</v>
      </c>
      <c r="Q25" s="7" t="s">
        <v>80</v>
      </c>
      <c r="R25" s="7" t="s">
        <v>186</v>
      </c>
      <c r="S25" s="7" t="s">
        <v>82</v>
      </c>
      <c r="T25" s="7" t="s">
        <v>46</v>
      </c>
      <c r="U25" s="7" t="s">
        <v>47</v>
      </c>
    </row>
    <row r="26" spans="1:21" x14ac:dyDescent="0.35">
      <c r="E26" s="2" t="s">
        <v>206</v>
      </c>
      <c r="F26" s="2">
        <v>2702239681</v>
      </c>
      <c r="G26" s="2" t="s">
        <v>207</v>
      </c>
      <c r="H26" s="2" t="s">
        <v>208</v>
      </c>
      <c r="I26" s="2" t="s">
        <v>209</v>
      </c>
      <c r="J26" s="2" t="s">
        <v>37</v>
      </c>
      <c r="K26" s="29" t="s">
        <v>77</v>
      </c>
      <c r="L26" s="29" t="s">
        <v>13</v>
      </c>
      <c r="M26" s="2" t="s">
        <v>205</v>
      </c>
      <c r="N26" s="2" t="s">
        <v>40</v>
      </c>
      <c r="O26" s="2" t="s">
        <v>78</v>
      </c>
      <c r="P26" s="2" t="s">
        <v>79</v>
      </c>
      <c r="Q26" s="2" t="s">
        <v>80</v>
      </c>
      <c r="R26" s="2" t="s">
        <v>81</v>
      </c>
      <c r="S26" s="2" t="s">
        <v>82</v>
      </c>
      <c r="T26" s="2" t="s">
        <v>83</v>
      </c>
      <c r="U26" s="2" t="s">
        <v>72</v>
      </c>
    </row>
    <row r="27" spans="1:21" x14ac:dyDescent="0.35">
      <c r="E27" s="2" t="s">
        <v>210</v>
      </c>
      <c r="F27" s="2">
        <v>2702228892</v>
      </c>
      <c r="G27" s="2" t="s">
        <v>211</v>
      </c>
      <c r="H27" s="2" t="s">
        <v>212</v>
      </c>
      <c r="I27" s="2" t="s">
        <v>213</v>
      </c>
      <c r="J27" s="2" t="s">
        <v>37</v>
      </c>
      <c r="K27" s="23" t="s">
        <v>214</v>
      </c>
      <c r="L27" s="23" t="s">
        <v>0</v>
      </c>
      <c r="M27" s="2" t="s">
        <v>215</v>
      </c>
      <c r="N27" s="2" t="s">
        <v>40</v>
      </c>
      <c r="O27" s="19" t="s">
        <v>107</v>
      </c>
      <c r="P27" s="19" t="s">
        <v>108</v>
      </c>
      <c r="Q27" s="19" t="s">
        <v>109</v>
      </c>
      <c r="R27" s="20">
        <v>46055</v>
      </c>
      <c r="S27" s="19" t="s">
        <v>110</v>
      </c>
      <c r="T27" s="19" t="s">
        <v>46</v>
      </c>
      <c r="U27" s="19" t="s">
        <v>47</v>
      </c>
    </row>
    <row r="28" spans="1:21" x14ac:dyDescent="0.35">
      <c r="E28" s="2" t="s">
        <v>216</v>
      </c>
      <c r="F28" s="2">
        <v>2702239750</v>
      </c>
      <c r="G28" s="2" t="s">
        <v>217</v>
      </c>
      <c r="H28" s="2" t="s">
        <v>218</v>
      </c>
      <c r="I28" s="2" t="s">
        <v>219</v>
      </c>
      <c r="J28" s="2" t="s">
        <v>37</v>
      </c>
      <c r="K28" s="29" t="s">
        <v>150</v>
      </c>
      <c r="L28" s="29" t="s">
        <v>6</v>
      </c>
      <c r="M28" s="2" t="s">
        <v>220</v>
      </c>
      <c r="N28" s="2" t="s">
        <v>54</v>
      </c>
      <c r="O28" s="2" t="s">
        <v>221</v>
      </c>
      <c r="P28" s="2" t="s">
        <v>222</v>
      </c>
      <c r="Q28" s="2" t="s">
        <v>43</v>
      </c>
      <c r="R28" s="2" t="s">
        <v>44</v>
      </c>
      <c r="S28" s="2" t="s">
        <v>45</v>
      </c>
      <c r="T28" s="2" t="s">
        <v>83</v>
      </c>
      <c r="U28" s="2" t="s">
        <v>72</v>
      </c>
    </row>
    <row r="29" spans="1:21" x14ac:dyDescent="0.35">
      <c r="E29" s="7" t="s">
        <v>223</v>
      </c>
      <c r="F29" s="7">
        <v>2702352414</v>
      </c>
      <c r="G29" s="7" t="s">
        <v>224</v>
      </c>
      <c r="H29" s="7" t="s">
        <v>225</v>
      </c>
      <c r="I29" s="7" t="s">
        <v>226</v>
      </c>
      <c r="J29" s="7" t="s">
        <v>37</v>
      </c>
      <c r="K29" s="26" t="s">
        <v>173</v>
      </c>
      <c r="L29" s="26" t="s">
        <v>7</v>
      </c>
      <c r="M29" s="7" t="s">
        <v>220</v>
      </c>
      <c r="N29" s="7" t="s">
        <v>54</v>
      </c>
      <c r="O29" s="8" t="s">
        <v>227</v>
      </c>
      <c r="P29" s="8" t="s">
        <v>228</v>
      </c>
      <c r="Q29" s="8" t="s">
        <v>43</v>
      </c>
      <c r="R29" s="16">
        <v>46055</v>
      </c>
      <c r="S29" s="16">
        <v>46420</v>
      </c>
      <c r="T29" s="8" t="s">
        <v>46</v>
      </c>
      <c r="U29" s="8" t="s">
        <v>72</v>
      </c>
    </row>
    <row r="30" spans="1:21" x14ac:dyDescent="0.35">
      <c r="E30" s="7" t="s">
        <v>229</v>
      </c>
      <c r="F30" s="7">
        <v>2702236805</v>
      </c>
      <c r="G30" s="7" t="s">
        <v>230</v>
      </c>
      <c r="H30" s="7" t="s">
        <v>231</v>
      </c>
      <c r="I30" s="7" t="s">
        <v>232</v>
      </c>
      <c r="J30" s="7" t="s">
        <v>37</v>
      </c>
      <c r="K30" s="26" t="s">
        <v>173</v>
      </c>
      <c r="L30" s="26" t="s">
        <v>7</v>
      </c>
      <c r="M30" s="7" t="s">
        <v>220</v>
      </c>
      <c r="N30" s="7" t="s">
        <v>40</v>
      </c>
      <c r="O30" s="13" t="s">
        <v>233</v>
      </c>
      <c r="P30" s="13" t="s">
        <v>56</v>
      </c>
      <c r="Q30" s="13" t="s">
        <v>43</v>
      </c>
      <c r="R30" s="17">
        <v>46055</v>
      </c>
      <c r="S30" s="13" t="s">
        <v>45</v>
      </c>
      <c r="T30" s="13" t="s">
        <v>46</v>
      </c>
      <c r="U30" s="13" t="s">
        <v>47</v>
      </c>
    </row>
    <row r="31" spans="1:21" x14ac:dyDescent="0.35">
      <c r="E31" s="7" t="s">
        <v>234</v>
      </c>
      <c r="F31" s="7">
        <v>2702361652</v>
      </c>
      <c r="G31" s="7" t="s">
        <v>235</v>
      </c>
      <c r="H31" s="7" t="s">
        <v>236</v>
      </c>
      <c r="I31" s="7" t="s">
        <v>237</v>
      </c>
      <c r="J31" s="7" t="s">
        <v>37</v>
      </c>
      <c r="K31" s="24" t="s">
        <v>214</v>
      </c>
      <c r="L31" s="24" t="s">
        <v>0</v>
      </c>
      <c r="M31" s="7" t="s">
        <v>220</v>
      </c>
      <c r="N31" s="7" t="s">
        <v>54</v>
      </c>
      <c r="O31" s="7" t="s">
        <v>238</v>
      </c>
      <c r="P31" s="7" t="s">
        <v>239</v>
      </c>
      <c r="Q31" s="7" t="s">
        <v>43</v>
      </c>
      <c r="R31" s="7" t="s">
        <v>186</v>
      </c>
      <c r="S31" s="7" t="s">
        <v>240</v>
      </c>
      <c r="T31" s="7" t="s">
        <v>46</v>
      </c>
      <c r="U31" s="7" t="s">
        <v>72</v>
      </c>
    </row>
    <row r="32" spans="1:21" x14ac:dyDescent="0.35">
      <c r="E32" s="2" t="s">
        <v>241</v>
      </c>
      <c r="F32" s="2">
        <v>2702229176</v>
      </c>
      <c r="G32" s="2" t="s">
        <v>242</v>
      </c>
      <c r="H32" s="2" t="s">
        <v>243</v>
      </c>
      <c r="I32" s="2" t="s">
        <v>244</v>
      </c>
      <c r="J32" s="2" t="s">
        <v>37</v>
      </c>
      <c r="K32" s="26" t="s">
        <v>52</v>
      </c>
      <c r="L32" s="26" t="s">
        <v>2</v>
      </c>
      <c r="M32" s="2" t="s">
        <v>245</v>
      </c>
      <c r="N32" s="2" t="s">
        <v>40</v>
      </c>
      <c r="O32" s="6" t="s">
        <v>246</v>
      </c>
      <c r="P32" s="6" t="s">
        <v>222</v>
      </c>
      <c r="Q32" s="6" t="s">
        <v>43</v>
      </c>
      <c r="R32" s="25">
        <v>46055</v>
      </c>
      <c r="S32" s="25">
        <v>46420</v>
      </c>
      <c r="T32" s="6" t="s">
        <v>46</v>
      </c>
      <c r="U32" s="6" t="s">
        <v>47</v>
      </c>
    </row>
    <row r="33" spans="5:21" x14ac:dyDescent="0.35">
      <c r="E33" s="7" t="s">
        <v>247</v>
      </c>
      <c r="F33" s="7">
        <v>2702228734</v>
      </c>
      <c r="G33" s="7" t="s">
        <v>248</v>
      </c>
      <c r="H33" s="7" t="s">
        <v>249</v>
      </c>
      <c r="I33" s="7" t="s">
        <v>250</v>
      </c>
      <c r="J33" s="7" t="s">
        <v>37</v>
      </c>
      <c r="K33" s="29" t="s">
        <v>150</v>
      </c>
      <c r="L33" s="29" t="s">
        <v>6</v>
      </c>
      <c r="M33" s="7" t="s">
        <v>251</v>
      </c>
      <c r="N33" s="7" t="s">
        <v>40</v>
      </c>
      <c r="O33" s="9" t="s">
        <v>252</v>
      </c>
      <c r="P33" s="9" t="s">
        <v>121</v>
      </c>
      <c r="Q33" s="9" t="s">
        <v>43</v>
      </c>
      <c r="R33" s="10">
        <v>46358</v>
      </c>
      <c r="S33" s="9" t="s">
        <v>45</v>
      </c>
      <c r="T33" s="9" t="s">
        <v>46</v>
      </c>
      <c r="U33" s="9" t="s">
        <v>47</v>
      </c>
    </row>
    <row r="34" spans="5:21" x14ac:dyDescent="0.35">
      <c r="E34" s="2" t="s">
        <v>253</v>
      </c>
      <c r="F34" s="2">
        <v>2702327583</v>
      </c>
      <c r="G34" s="2" t="s">
        <v>254</v>
      </c>
      <c r="H34" s="2" t="s">
        <v>255</v>
      </c>
      <c r="I34" s="2" t="s">
        <v>256</v>
      </c>
      <c r="J34" s="2" t="s">
        <v>257</v>
      </c>
      <c r="K34" s="26" t="s">
        <v>258</v>
      </c>
      <c r="L34" s="26" t="s">
        <v>10</v>
      </c>
      <c r="M34" s="2" t="s">
        <v>259</v>
      </c>
      <c r="N34" s="2" t="s">
        <v>54</v>
      </c>
      <c r="O34" s="12" t="s">
        <v>260</v>
      </c>
      <c r="P34" s="12" t="s">
        <v>260</v>
      </c>
      <c r="Q34" s="12" t="s">
        <v>260</v>
      </c>
      <c r="R34" s="12" t="s">
        <v>260</v>
      </c>
      <c r="S34" s="12" t="s">
        <v>260</v>
      </c>
      <c r="T34" s="12" t="s">
        <v>260</v>
      </c>
      <c r="U34" s="12" t="s">
        <v>72</v>
      </c>
    </row>
    <row r="35" spans="5:21" x14ac:dyDescent="0.35">
      <c r="E35" s="7" t="s">
        <v>261</v>
      </c>
      <c r="F35" s="7">
        <v>2702252134</v>
      </c>
      <c r="G35" s="7" t="s">
        <v>262</v>
      </c>
      <c r="H35" s="7" t="s">
        <v>263</v>
      </c>
      <c r="I35" s="7" t="s">
        <v>264</v>
      </c>
      <c r="J35" s="7" t="s">
        <v>37</v>
      </c>
      <c r="K35" s="29" t="s">
        <v>38</v>
      </c>
      <c r="L35" s="29" t="s">
        <v>12</v>
      </c>
      <c r="M35" s="7" t="s">
        <v>265</v>
      </c>
      <c r="N35" s="7" t="s">
        <v>54</v>
      </c>
      <c r="O35" s="24" t="s">
        <v>41</v>
      </c>
      <c r="P35" s="24" t="s">
        <v>71</v>
      </c>
      <c r="Q35" s="24" t="s">
        <v>43</v>
      </c>
      <c r="R35" s="24" t="s">
        <v>44</v>
      </c>
      <c r="S35" s="24" t="s">
        <v>45</v>
      </c>
      <c r="T35" s="24" t="s">
        <v>46</v>
      </c>
      <c r="U35" s="24" t="s">
        <v>47</v>
      </c>
    </row>
    <row r="36" spans="5:21" x14ac:dyDescent="0.35">
      <c r="E36" s="2" t="s">
        <v>266</v>
      </c>
      <c r="F36" s="2">
        <v>2702252102</v>
      </c>
      <c r="G36" s="2" t="s">
        <v>267</v>
      </c>
      <c r="H36" s="2" t="s">
        <v>268</v>
      </c>
      <c r="I36" s="2" t="s">
        <v>269</v>
      </c>
      <c r="J36" s="2" t="s">
        <v>37</v>
      </c>
      <c r="K36" s="29" t="s">
        <v>270</v>
      </c>
      <c r="L36" s="29" t="s">
        <v>5</v>
      </c>
      <c r="M36" s="2" t="s">
        <v>265</v>
      </c>
      <c r="N36" s="2" t="s">
        <v>40</v>
      </c>
      <c r="O36" s="30" t="s">
        <v>271</v>
      </c>
      <c r="P36" s="30" t="s">
        <v>272</v>
      </c>
      <c r="Q36" s="30" t="s">
        <v>43</v>
      </c>
      <c r="R36" s="33">
        <v>46055</v>
      </c>
      <c r="S36" s="33">
        <v>46420</v>
      </c>
      <c r="T36" s="30" t="s">
        <v>46</v>
      </c>
      <c r="U36" s="30" t="s">
        <v>47</v>
      </c>
    </row>
    <row r="37" spans="5:21" x14ac:dyDescent="0.35">
      <c r="E37" s="2" t="s">
        <v>273</v>
      </c>
      <c r="F37" s="2">
        <v>2602074103</v>
      </c>
      <c r="G37" s="2" t="s">
        <v>274</v>
      </c>
      <c r="H37" s="2" t="s">
        <v>275</v>
      </c>
      <c r="I37" s="2" t="s">
        <v>276</v>
      </c>
      <c r="J37" s="2" t="s">
        <v>37</v>
      </c>
      <c r="K37" s="26" t="s">
        <v>52</v>
      </c>
      <c r="L37" s="26" t="s">
        <v>2</v>
      </c>
      <c r="M37" s="2" t="s">
        <v>277</v>
      </c>
      <c r="N37" s="2" t="s">
        <v>278</v>
      </c>
      <c r="O37" s="23" t="s">
        <v>279</v>
      </c>
      <c r="P37" s="23" t="s">
        <v>222</v>
      </c>
      <c r="Q37" s="23" t="s">
        <v>109</v>
      </c>
      <c r="R37" s="23" t="s">
        <v>44</v>
      </c>
      <c r="S37" s="23" t="s">
        <v>280</v>
      </c>
      <c r="T37" s="23" t="s">
        <v>46</v>
      </c>
      <c r="U37" s="23" t="s">
        <v>47</v>
      </c>
    </row>
    <row r="38" spans="5:21" x14ac:dyDescent="0.35">
      <c r="E38" s="7" t="s">
        <v>281</v>
      </c>
      <c r="F38" s="7">
        <v>2702282591</v>
      </c>
      <c r="G38" s="7" t="s">
        <v>282</v>
      </c>
      <c r="H38" s="7" t="s">
        <v>283</v>
      </c>
      <c r="I38" s="7" t="s">
        <v>284</v>
      </c>
      <c r="J38" s="7" t="s">
        <v>37</v>
      </c>
      <c r="K38" s="26" t="s">
        <v>52</v>
      </c>
      <c r="L38" s="26" t="s">
        <v>2</v>
      </c>
      <c r="M38" s="7" t="s">
        <v>285</v>
      </c>
      <c r="N38" s="7" t="s">
        <v>54</v>
      </c>
      <c r="O38" s="31" t="s">
        <v>286</v>
      </c>
      <c r="P38" s="31" t="s">
        <v>56</v>
      </c>
      <c r="Q38" s="31" t="s">
        <v>43</v>
      </c>
      <c r="R38" s="32">
        <v>46055</v>
      </c>
      <c r="S38" s="31" t="s">
        <v>45</v>
      </c>
      <c r="T38" s="31" t="s">
        <v>46</v>
      </c>
      <c r="U38" s="31" t="s">
        <v>47</v>
      </c>
    </row>
    <row r="39" spans="5:21" x14ac:dyDescent="0.35">
      <c r="E39" s="2" t="s">
        <v>287</v>
      </c>
      <c r="F39" s="2">
        <v>2702334784</v>
      </c>
      <c r="G39" s="2" t="s">
        <v>288</v>
      </c>
      <c r="H39" s="2" t="s">
        <v>289</v>
      </c>
      <c r="I39" s="2" t="s">
        <v>290</v>
      </c>
      <c r="J39" s="2" t="s">
        <v>37</v>
      </c>
      <c r="K39" s="26" t="s">
        <v>173</v>
      </c>
      <c r="L39" s="26" t="s">
        <v>7</v>
      </c>
      <c r="M39" s="2" t="s">
        <v>291</v>
      </c>
      <c r="N39" s="2" t="s">
        <v>40</v>
      </c>
      <c r="O39" s="23" t="s">
        <v>292</v>
      </c>
      <c r="P39" s="23" t="s">
        <v>200</v>
      </c>
      <c r="Q39" s="23" t="s">
        <v>43</v>
      </c>
      <c r="R39" s="23" t="s">
        <v>44</v>
      </c>
      <c r="S39" s="23" t="s">
        <v>153</v>
      </c>
      <c r="T39" s="23" t="s">
        <v>46</v>
      </c>
      <c r="U39" s="23" t="s">
        <v>72</v>
      </c>
    </row>
    <row r="40" spans="5:21" x14ac:dyDescent="0.35">
      <c r="E40" s="7" t="s">
        <v>293</v>
      </c>
      <c r="F40" s="7">
        <v>2702319051</v>
      </c>
      <c r="G40" s="7" t="s">
        <v>294</v>
      </c>
      <c r="H40" s="7" t="s">
        <v>295</v>
      </c>
      <c r="I40" s="7" t="s">
        <v>296</v>
      </c>
      <c r="J40" s="7" t="s">
        <v>37</v>
      </c>
      <c r="K40" s="26" t="s">
        <v>297</v>
      </c>
      <c r="L40" s="26" t="s">
        <v>3</v>
      </c>
      <c r="M40" s="7" t="s">
        <v>298</v>
      </c>
      <c r="N40" s="7" t="s">
        <v>40</v>
      </c>
      <c r="O40" s="21" t="s">
        <v>107</v>
      </c>
      <c r="P40" s="21" t="s">
        <v>108</v>
      </c>
      <c r="Q40" s="21" t="s">
        <v>109</v>
      </c>
      <c r="R40" s="22">
        <v>46055</v>
      </c>
      <c r="S40" s="21" t="s">
        <v>110</v>
      </c>
      <c r="T40" s="21" t="s">
        <v>46</v>
      </c>
      <c r="U40" s="21" t="s">
        <v>47</v>
      </c>
    </row>
    <row r="41" spans="5:21" x14ac:dyDescent="0.35">
      <c r="E41" s="7" t="s">
        <v>299</v>
      </c>
      <c r="F41" s="7">
        <v>2702275485</v>
      </c>
      <c r="G41" s="7" t="s">
        <v>300</v>
      </c>
      <c r="H41" s="7" t="s">
        <v>301</v>
      </c>
      <c r="I41" s="7" t="s">
        <v>302</v>
      </c>
      <c r="J41" s="7" t="s">
        <v>37</v>
      </c>
      <c r="K41" s="7" t="s">
        <v>214</v>
      </c>
      <c r="L41" s="7" t="s">
        <v>0</v>
      </c>
      <c r="M41" s="7" t="s">
        <v>298</v>
      </c>
      <c r="N41" s="7" t="s">
        <v>40</v>
      </c>
      <c r="O41" s="7" t="s">
        <v>303</v>
      </c>
      <c r="P41" s="7" t="s">
        <v>304</v>
      </c>
      <c r="Q41" s="7" t="s">
        <v>43</v>
      </c>
      <c r="R41" s="7" t="s">
        <v>44</v>
      </c>
      <c r="S41" s="7" t="s">
        <v>45</v>
      </c>
      <c r="T41" s="7" t="s">
        <v>46</v>
      </c>
      <c r="U41" s="7" t="s">
        <v>47</v>
      </c>
    </row>
    <row r="42" spans="5:21" x14ac:dyDescent="0.35">
      <c r="E42" s="2" t="s">
        <v>305</v>
      </c>
      <c r="F42" s="2">
        <v>2702261574</v>
      </c>
      <c r="G42" s="2" t="s">
        <v>306</v>
      </c>
      <c r="H42" s="2" t="s">
        <v>307</v>
      </c>
      <c r="I42" s="2" t="s">
        <v>308</v>
      </c>
      <c r="J42" s="2" t="s">
        <v>37</v>
      </c>
      <c r="K42" s="26" t="s">
        <v>52</v>
      </c>
      <c r="L42" s="26" t="s">
        <v>2</v>
      </c>
      <c r="M42" s="2" t="s">
        <v>309</v>
      </c>
      <c r="N42" s="2" t="s">
        <v>54</v>
      </c>
      <c r="O42" s="2" t="s">
        <v>310</v>
      </c>
      <c r="P42" s="2" t="s">
        <v>222</v>
      </c>
      <c r="Q42" s="2" t="s">
        <v>43</v>
      </c>
      <c r="R42" s="2" t="s">
        <v>44</v>
      </c>
      <c r="S42" s="2" t="s">
        <v>45</v>
      </c>
      <c r="T42" s="2" t="s">
        <v>46</v>
      </c>
      <c r="U42" s="2" t="s">
        <v>47</v>
      </c>
    </row>
    <row r="43" spans="5:21" x14ac:dyDescent="0.35">
      <c r="E43" s="7" t="s">
        <v>311</v>
      </c>
      <c r="F43" s="7">
        <v>2702286412</v>
      </c>
      <c r="G43" s="7" t="s">
        <v>312</v>
      </c>
      <c r="H43" s="7" t="s">
        <v>313</v>
      </c>
      <c r="I43" s="7" t="s">
        <v>314</v>
      </c>
      <c r="J43" s="7" t="s">
        <v>37</v>
      </c>
      <c r="K43" s="7" t="s">
        <v>214</v>
      </c>
      <c r="L43" s="7" t="s">
        <v>0</v>
      </c>
      <c r="M43" s="7" t="s">
        <v>309</v>
      </c>
      <c r="N43" s="7" t="s">
        <v>40</v>
      </c>
      <c r="O43" s="8" t="s">
        <v>303</v>
      </c>
      <c r="P43" s="8" t="s">
        <v>315</v>
      </c>
      <c r="Q43" s="8" t="s">
        <v>43</v>
      </c>
      <c r="R43" s="16">
        <v>46055</v>
      </c>
      <c r="S43" s="8" t="s">
        <v>45</v>
      </c>
      <c r="T43" s="8" t="s">
        <v>122</v>
      </c>
      <c r="U43" s="8" t="s">
        <v>47</v>
      </c>
    </row>
    <row r="44" spans="5:21" x14ac:dyDescent="0.35">
      <c r="E44" s="7" t="s">
        <v>316</v>
      </c>
      <c r="F44" s="7">
        <v>2702233791</v>
      </c>
      <c r="G44" s="7" t="s">
        <v>317</v>
      </c>
      <c r="H44" s="7" t="s">
        <v>318</v>
      </c>
      <c r="I44" s="7" t="s">
        <v>319</v>
      </c>
      <c r="J44" s="7" t="s">
        <v>37</v>
      </c>
      <c r="K44" s="26" t="s">
        <v>38</v>
      </c>
      <c r="L44" s="26" t="s">
        <v>12</v>
      </c>
      <c r="M44" s="7" t="s">
        <v>309</v>
      </c>
      <c r="N44" s="7" t="s">
        <v>40</v>
      </c>
      <c r="O44" s="9" t="s">
        <v>41</v>
      </c>
      <c r="P44" s="9" t="s">
        <v>320</v>
      </c>
      <c r="Q44" s="9" t="s">
        <v>43</v>
      </c>
      <c r="R44" s="10">
        <v>46055</v>
      </c>
      <c r="S44" s="9" t="s">
        <v>45</v>
      </c>
      <c r="T44" s="9" t="s">
        <v>46</v>
      </c>
      <c r="U44" s="9" t="s">
        <v>47</v>
      </c>
    </row>
    <row r="45" spans="5:21" x14ac:dyDescent="0.35">
      <c r="E45" s="7" t="s">
        <v>321</v>
      </c>
      <c r="F45" s="7">
        <v>2702262791</v>
      </c>
      <c r="G45" s="7" t="s">
        <v>322</v>
      </c>
      <c r="H45" s="7" t="s">
        <v>323</v>
      </c>
      <c r="I45" s="7" t="s">
        <v>324</v>
      </c>
      <c r="J45" s="7" t="s">
        <v>37</v>
      </c>
      <c r="K45" s="26" t="s">
        <v>270</v>
      </c>
      <c r="L45" s="26" t="s">
        <v>5</v>
      </c>
      <c r="M45" s="7" t="s">
        <v>309</v>
      </c>
      <c r="N45" s="7" t="s">
        <v>54</v>
      </c>
      <c r="O45" s="8" t="s">
        <v>325</v>
      </c>
      <c r="P45" s="8" t="s">
        <v>326</v>
      </c>
      <c r="Q45" s="8" t="s">
        <v>43</v>
      </c>
      <c r="R45" s="16">
        <v>46055</v>
      </c>
      <c r="S45" s="8" t="s">
        <v>45</v>
      </c>
      <c r="T45" s="8" t="s">
        <v>46</v>
      </c>
      <c r="U45" s="8" t="s">
        <v>47</v>
      </c>
    </row>
    <row r="46" spans="5:21" x14ac:dyDescent="0.35">
      <c r="E46" s="7" t="s">
        <v>327</v>
      </c>
      <c r="F46" s="7">
        <v>2702361620</v>
      </c>
      <c r="G46" s="7" t="s">
        <v>328</v>
      </c>
      <c r="H46" s="7" t="s">
        <v>329</v>
      </c>
      <c r="I46" s="7" t="s">
        <v>330</v>
      </c>
      <c r="J46" s="7" t="s">
        <v>37</v>
      </c>
      <c r="K46" s="29" t="s">
        <v>132</v>
      </c>
      <c r="L46" s="29" t="s">
        <v>9</v>
      </c>
      <c r="M46" s="7" t="s">
        <v>331</v>
      </c>
      <c r="N46" s="7" t="s">
        <v>40</v>
      </c>
      <c r="O46" s="7" t="s">
        <v>332</v>
      </c>
      <c r="P46" s="7" t="s">
        <v>333</v>
      </c>
      <c r="Q46" s="7" t="s">
        <v>43</v>
      </c>
      <c r="R46" s="7" t="s">
        <v>44</v>
      </c>
      <c r="S46" s="7" t="s">
        <v>45</v>
      </c>
      <c r="T46" s="7" t="s">
        <v>83</v>
      </c>
      <c r="U46" s="7" t="s">
        <v>47</v>
      </c>
    </row>
    <row r="47" spans="5:21" x14ac:dyDescent="0.35">
      <c r="E47" s="2" t="s">
        <v>334</v>
      </c>
      <c r="F47" s="2">
        <v>2702250261</v>
      </c>
      <c r="G47" s="2" t="s">
        <v>335</v>
      </c>
      <c r="H47" s="2" t="s">
        <v>336</v>
      </c>
      <c r="I47" s="2" t="s">
        <v>337</v>
      </c>
      <c r="J47" s="2" t="s">
        <v>37</v>
      </c>
      <c r="K47" s="29" t="s">
        <v>38</v>
      </c>
      <c r="L47" s="29" t="s">
        <v>12</v>
      </c>
      <c r="M47" s="2" t="s">
        <v>338</v>
      </c>
      <c r="N47" s="2" t="s">
        <v>40</v>
      </c>
      <c r="O47" s="2" t="s">
        <v>41</v>
      </c>
      <c r="P47" s="2" t="s">
        <v>42</v>
      </c>
      <c r="Q47" s="2" t="s">
        <v>43</v>
      </c>
      <c r="R47" s="2" t="s">
        <v>44</v>
      </c>
      <c r="S47" s="2" t="s">
        <v>45</v>
      </c>
      <c r="T47" s="2" t="s">
        <v>46</v>
      </c>
      <c r="U47" s="2" t="s">
        <v>72</v>
      </c>
    </row>
    <row r="48" spans="5:21" x14ac:dyDescent="0.35">
      <c r="E48" s="7" t="s">
        <v>339</v>
      </c>
      <c r="F48" s="7">
        <v>2702233311</v>
      </c>
      <c r="G48" s="7" t="s">
        <v>340</v>
      </c>
      <c r="H48" s="7" t="s">
        <v>341</v>
      </c>
      <c r="I48" s="7" t="s">
        <v>342</v>
      </c>
      <c r="J48" s="7" t="s">
        <v>37</v>
      </c>
      <c r="K48" s="29" t="s">
        <v>38</v>
      </c>
      <c r="L48" s="29" t="s">
        <v>12</v>
      </c>
      <c r="M48" s="7" t="s">
        <v>343</v>
      </c>
      <c r="N48" s="7" t="s">
        <v>40</v>
      </c>
      <c r="O48" s="7" t="s">
        <v>41</v>
      </c>
      <c r="P48" s="7" t="s">
        <v>71</v>
      </c>
      <c r="Q48" s="7" t="s">
        <v>43</v>
      </c>
      <c r="R48" s="7" t="s">
        <v>44</v>
      </c>
      <c r="S48" s="7" t="s">
        <v>45</v>
      </c>
      <c r="T48" s="7" t="s">
        <v>46</v>
      </c>
      <c r="U48" s="7" t="s">
        <v>72</v>
      </c>
    </row>
    <row r="49" spans="5:21" x14ac:dyDescent="0.35">
      <c r="E49" s="2" t="s">
        <v>344</v>
      </c>
      <c r="F49" s="2">
        <v>2702272003</v>
      </c>
      <c r="G49" s="2" t="s">
        <v>345</v>
      </c>
      <c r="H49" s="2" t="s">
        <v>346</v>
      </c>
      <c r="I49" s="2" t="s">
        <v>347</v>
      </c>
      <c r="J49" s="2" t="s">
        <v>37</v>
      </c>
      <c r="K49" s="26" t="s">
        <v>173</v>
      </c>
      <c r="L49" s="26" t="s">
        <v>7</v>
      </c>
      <c r="M49" s="2" t="s">
        <v>343</v>
      </c>
      <c r="N49" s="2" t="s">
        <v>40</v>
      </c>
      <c r="O49" s="2" t="s">
        <v>348</v>
      </c>
      <c r="P49" s="2" t="s">
        <v>161</v>
      </c>
      <c r="Q49" s="2" t="s">
        <v>43</v>
      </c>
      <c r="R49" s="2" t="s">
        <v>44</v>
      </c>
      <c r="S49" s="2" t="s">
        <v>45</v>
      </c>
      <c r="T49" s="2" t="s">
        <v>46</v>
      </c>
      <c r="U49" s="2" t="s">
        <v>72</v>
      </c>
    </row>
    <row r="50" spans="5:21" x14ac:dyDescent="0.35">
      <c r="E50" s="7" t="s">
        <v>349</v>
      </c>
      <c r="F50" s="7">
        <v>2702320210</v>
      </c>
      <c r="G50" s="7" t="s">
        <v>350</v>
      </c>
      <c r="H50" s="7" t="s">
        <v>351</v>
      </c>
      <c r="I50" s="7" t="s">
        <v>352</v>
      </c>
      <c r="J50" s="7" t="s">
        <v>37</v>
      </c>
      <c r="K50" s="26" t="s">
        <v>158</v>
      </c>
      <c r="L50" s="26" t="s">
        <v>11</v>
      </c>
      <c r="M50" s="7" t="s">
        <v>353</v>
      </c>
      <c r="N50" s="7" t="s">
        <v>40</v>
      </c>
      <c r="O50" s="11" t="s">
        <v>354</v>
      </c>
      <c r="P50" s="11" t="s">
        <v>355</v>
      </c>
      <c r="Q50" s="11" t="s">
        <v>43</v>
      </c>
      <c r="R50" s="11" t="s">
        <v>44</v>
      </c>
      <c r="S50" s="11" t="s">
        <v>153</v>
      </c>
      <c r="T50" s="11" t="s">
        <v>46</v>
      </c>
      <c r="U50" s="11" t="s">
        <v>72</v>
      </c>
    </row>
    <row r="51" spans="5:21" x14ac:dyDescent="0.35">
      <c r="E51" s="2" t="s">
        <v>356</v>
      </c>
      <c r="F51" s="2">
        <v>2702261611</v>
      </c>
      <c r="G51" s="2" t="s">
        <v>357</v>
      </c>
      <c r="H51" s="2" t="s">
        <v>358</v>
      </c>
      <c r="I51" s="2" t="s">
        <v>359</v>
      </c>
      <c r="J51" s="2" t="s">
        <v>257</v>
      </c>
      <c r="K51" s="29" t="s">
        <v>297</v>
      </c>
      <c r="L51" s="29" t="s">
        <v>3</v>
      </c>
      <c r="M51" s="2" t="s">
        <v>360</v>
      </c>
      <c r="N51" s="2" t="s">
        <v>40</v>
      </c>
      <c r="O51" s="2" t="s">
        <v>260</v>
      </c>
      <c r="P51" s="2" t="s">
        <v>260</v>
      </c>
      <c r="Q51" s="2" t="s">
        <v>260</v>
      </c>
      <c r="R51" s="2" t="s">
        <v>260</v>
      </c>
      <c r="S51" s="2" t="s">
        <v>260</v>
      </c>
      <c r="T51" s="2" t="s">
        <v>260</v>
      </c>
      <c r="U51" s="2" t="s">
        <v>72</v>
      </c>
    </row>
    <row r="52" spans="5:21" x14ac:dyDescent="0.35">
      <c r="E52" s="7" t="s">
        <v>361</v>
      </c>
      <c r="F52" s="7">
        <v>2702259235</v>
      </c>
      <c r="G52" s="7" t="s">
        <v>362</v>
      </c>
      <c r="H52" s="7" t="s">
        <v>363</v>
      </c>
      <c r="I52" s="7" t="s">
        <v>364</v>
      </c>
      <c r="J52" s="7" t="s">
        <v>37</v>
      </c>
      <c r="K52" s="29" t="s">
        <v>38</v>
      </c>
      <c r="L52" s="29" t="s">
        <v>12</v>
      </c>
      <c r="M52" s="7" t="s">
        <v>365</v>
      </c>
      <c r="N52" s="7" t="s">
        <v>40</v>
      </c>
      <c r="O52" s="11" t="s">
        <v>366</v>
      </c>
      <c r="P52" s="11" t="s">
        <v>367</v>
      </c>
      <c r="Q52" s="11" t="s">
        <v>43</v>
      </c>
      <c r="R52" s="11" t="s">
        <v>368</v>
      </c>
      <c r="S52" s="11" t="s">
        <v>369</v>
      </c>
      <c r="T52" s="11" t="s">
        <v>46</v>
      </c>
      <c r="U52" s="11" t="s">
        <v>72</v>
      </c>
    </row>
    <row r="53" spans="5:21" x14ac:dyDescent="0.35">
      <c r="E53" s="2" t="s">
        <v>370</v>
      </c>
      <c r="F53" s="2">
        <v>2702259191</v>
      </c>
      <c r="G53" s="2" t="s">
        <v>371</v>
      </c>
      <c r="H53" s="2" t="s">
        <v>372</v>
      </c>
      <c r="I53" s="2" t="s">
        <v>373</v>
      </c>
      <c r="J53" s="2" t="s">
        <v>37</v>
      </c>
      <c r="K53" s="26" t="s">
        <v>52</v>
      </c>
      <c r="L53" s="26" t="s">
        <v>2</v>
      </c>
      <c r="M53" s="2" t="s">
        <v>365</v>
      </c>
      <c r="N53" s="2" t="s">
        <v>40</v>
      </c>
      <c r="O53" s="2" t="s">
        <v>89</v>
      </c>
      <c r="P53" s="2" t="s">
        <v>71</v>
      </c>
      <c r="Q53" s="2" t="s">
        <v>43</v>
      </c>
      <c r="R53" s="2" t="s">
        <v>44</v>
      </c>
      <c r="S53" s="2" t="s">
        <v>45</v>
      </c>
      <c r="T53" s="2" t="s">
        <v>83</v>
      </c>
      <c r="U53" s="2" t="s">
        <v>72</v>
      </c>
    </row>
    <row r="54" spans="5:21" x14ac:dyDescent="0.35">
      <c r="E54" s="2" t="s">
        <v>374</v>
      </c>
      <c r="F54" s="2">
        <v>2702267211</v>
      </c>
      <c r="G54" s="2" t="s">
        <v>375</v>
      </c>
      <c r="H54" s="2" t="s">
        <v>376</v>
      </c>
      <c r="I54" s="2" t="s">
        <v>377</v>
      </c>
      <c r="J54" s="2" t="s">
        <v>37</v>
      </c>
      <c r="K54" s="29" t="s">
        <v>77</v>
      </c>
      <c r="L54" s="29" t="s">
        <v>13</v>
      </c>
      <c r="M54" s="2" t="s">
        <v>378</v>
      </c>
      <c r="N54" s="2" t="s">
        <v>40</v>
      </c>
      <c r="O54" s="12" t="s">
        <v>78</v>
      </c>
      <c r="P54" s="12" t="s">
        <v>79</v>
      </c>
      <c r="Q54" s="12" t="s">
        <v>80</v>
      </c>
      <c r="R54" s="12" t="s">
        <v>81</v>
      </c>
      <c r="S54" s="12" t="s">
        <v>82</v>
      </c>
      <c r="T54" s="12" t="s">
        <v>83</v>
      </c>
      <c r="U54" s="12" t="s">
        <v>72</v>
      </c>
    </row>
    <row r="55" spans="5:21" x14ac:dyDescent="0.35">
      <c r="E55" s="7" t="s">
        <v>379</v>
      </c>
      <c r="F55" s="7">
        <v>2702374592</v>
      </c>
      <c r="G55" s="7" t="s">
        <v>380</v>
      </c>
      <c r="H55" s="7" t="s">
        <v>381</v>
      </c>
      <c r="I55" s="7" t="s">
        <v>382</v>
      </c>
      <c r="J55" s="7" t="s">
        <v>37</v>
      </c>
      <c r="K55" s="26" t="s">
        <v>158</v>
      </c>
      <c r="L55" s="26" t="s">
        <v>11</v>
      </c>
      <c r="M55" s="7" t="s">
        <v>383</v>
      </c>
      <c r="N55" s="7" t="s">
        <v>54</v>
      </c>
      <c r="O55" s="13" t="s">
        <v>233</v>
      </c>
      <c r="P55" s="13" t="s">
        <v>384</v>
      </c>
      <c r="Q55" s="13" t="s">
        <v>43</v>
      </c>
      <c r="R55" s="17">
        <v>46055</v>
      </c>
      <c r="S55" s="13" t="s">
        <v>45</v>
      </c>
      <c r="T55" s="13" t="s">
        <v>46</v>
      </c>
      <c r="U55" s="13" t="s">
        <v>47</v>
      </c>
    </row>
    <row r="56" spans="5:21" x14ac:dyDescent="0.35">
      <c r="E56" s="7" t="s">
        <v>385</v>
      </c>
      <c r="F56" s="7">
        <v>2702259090</v>
      </c>
      <c r="G56" s="7" t="s">
        <v>386</v>
      </c>
      <c r="H56" s="7" t="s">
        <v>387</v>
      </c>
      <c r="I56" s="7" t="s">
        <v>388</v>
      </c>
      <c r="J56" s="7" t="s">
        <v>37</v>
      </c>
      <c r="K56" s="26" t="s">
        <v>158</v>
      </c>
      <c r="L56" s="26" t="s">
        <v>11</v>
      </c>
      <c r="M56" s="7" t="s">
        <v>389</v>
      </c>
      <c r="N56" s="7" t="s">
        <v>40</v>
      </c>
      <c r="O56" s="8" t="s">
        <v>166</v>
      </c>
      <c r="P56" s="8" t="s">
        <v>56</v>
      </c>
      <c r="Q56" s="8" t="s">
        <v>43</v>
      </c>
      <c r="R56" s="8" t="s">
        <v>167</v>
      </c>
      <c r="S56" s="8" t="s">
        <v>168</v>
      </c>
      <c r="T56" s="8" t="s">
        <v>46</v>
      </c>
      <c r="U56" s="8" t="s">
        <v>47</v>
      </c>
    </row>
    <row r="57" spans="5:21" x14ac:dyDescent="0.35">
      <c r="E57" s="2" t="s">
        <v>390</v>
      </c>
      <c r="F57" s="2">
        <v>2702343523</v>
      </c>
      <c r="G57" s="2" t="s">
        <v>391</v>
      </c>
      <c r="H57" s="2" t="s">
        <v>392</v>
      </c>
      <c r="I57" s="2" t="s">
        <v>393</v>
      </c>
      <c r="J57" s="2" t="s">
        <v>37</v>
      </c>
      <c r="K57" s="29" t="s">
        <v>270</v>
      </c>
      <c r="L57" s="29" t="s">
        <v>5</v>
      </c>
      <c r="M57" s="2" t="s">
        <v>394</v>
      </c>
      <c r="N57" s="2" t="s">
        <v>40</v>
      </c>
      <c r="O57" s="3" t="s">
        <v>107</v>
      </c>
      <c r="P57" s="3" t="s">
        <v>108</v>
      </c>
      <c r="Q57" s="3" t="s">
        <v>109</v>
      </c>
      <c r="R57" s="4">
        <v>46055</v>
      </c>
      <c r="S57" s="3" t="s">
        <v>110</v>
      </c>
      <c r="T57" s="3" t="s">
        <v>46</v>
      </c>
      <c r="U57" s="3" t="s">
        <v>47</v>
      </c>
    </row>
    <row r="58" spans="5:21" x14ac:dyDescent="0.35">
      <c r="E58" s="7" t="s">
        <v>395</v>
      </c>
      <c r="F58" s="7">
        <v>2702328264</v>
      </c>
      <c r="G58" s="7" t="s">
        <v>396</v>
      </c>
      <c r="H58" s="7" t="s">
        <v>397</v>
      </c>
      <c r="I58" s="7" t="s">
        <v>398</v>
      </c>
      <c r="J58" s="7" t="s">
        <v>61</v>
      </c>
      <c r="K58" s="26" t="s">
        <v>62</v>
      </c>
      <c r="L58" s="26" t="s">
        <v>8</v>
      </c>
      <c r="M58" s="7" t="s">
        <v>399</v>
      </c>
      <c r="N58" s="7" t="s">
        <v>54</v>
      </c>
      <c r="O58" s="13" t="s">
        <v>64</v>
      </c>
      <c r="P58" s="13" t="s">
        <v>400</v>
      </c>
      <c r="Q58" s="13" t="s">
        <v>109</v>
      </c>
      <c r="R58" s="17">
        <v>46055</v>
      </c>
      <c r="S58" s="17">
        <v>46061</v>
      </c>
      <c r="T58" s="13" t="s">
        <v>66</v>
      </c>
      <c r="U58" s="13" t="s">
        <v>47</v>
      </c>
    </row>
    <row r="59" spans="5:21" x14ac:dyDescent="0.35">
      <c r="E59" s="7" t="s">
        <v>401</v>
      </c>
      <c r="F59" s="7">
        <v>2702342924</v>
      </c>
      <c r="G59" s="7" t="s">
        <v>402</v>
      </c>
      <c r="H59" s="7" t="s">
        <v>403</v>
      </c>
      <c r="I59" s="7" t="s">
        <v>404</v>
      </c>
      <c r="J59" s="7" t="s">
        <v>37</v>
      </c>
      <c r="K59" s="26" t="s">
        <v>150</v>
      </c>
      <c r="L59" s="26" t="s">
        <v>6</v>
      </c>
      <c r="M59" s="7" t="s">
        <v>405</v>
      </c>
      <c r="N59" s="7" t="s">
        <v>406</v>
      </c>
      <c r="O59" s="8" t="s">
        <v>221</v>
      </c>
      <c r="P59" s="8" t="s">
        <v>222</v>
      </c>
      <c r="Q59" s="8" t="s">
        <v>43</v>
      </c>
      <c r="R59" s="16">
        <v>46055</v>
      </c>
      <c r="S59" s="8" t="s">
        <v>45</v>
      </c>
      <c r="T59" s="8" t="s">
        <v>83</v>
      </c>
      <c r="U59" s="8" t="s">
        <v>47</v>
      </c>
    </row>
    <row r="60" spans="5:21" x14ac:dyDescent="0.35">
      <c r="E60" s="2" t="s">
        <v>407</v>
      </c>
      <c r="F60" s="2">
        <v>2702262072</v>
      </c>
      <c r="G60" s="2" t="s">
        <v>408</v>
      </c>
      <c r="H60" s="2" t="s">
        <v>409</v>
      </c>
      <c r="I60" s="2" t="s">
        <v>410</v>
      </c>
      <c r="J60" s="2" t="s">
        <v>411</v>
      </c>
      <c r="K60" s="23"/>
      <c r="L60" s="23"/>
      <c r="M60" s="2" t="s">
        <v>412</v>
      </c>
      <c r="N60" s="2" t="s">
        <v>40</v>
      </c>
      <c r="O60" s="12" t="s">
        <v>413</v>
      </c>
      <c r="P60" s="12" t="s">
        <v>414</v>
      </c>
      <c r="Q60" s="12" t="s">
        <v>260</v>
      </c>
      <c r="R60" s="12" t="s">
        <v>415</v>
      </c>
      <c r="S60" s="12" t="s">
        <v>416</v>
      </c>
      <c r="T60" s="12" t="s">
        <v>260</v>
      </c>
      <c r="U60" s="12" t="s">
        <v>72</v>
      </c>
    </row>
    <row r="61" spans="5:21" x14ac:dyDescent="0.35">
      <c r="E61" s="7" t="s">
        <v>417</v>
      </c>
      <c r="F61" s="7">
        <v>2702361280</v>
      </c>
      <c r="G61" s="7" t="s">
        <v>418</v>
      </c>
      <c r="H61" s="7" t="s">
        <v>419</v>
      </c>
      <c r="I61" s="7" t="s">
        <v>420</v>
      </c>
      <c r="J61" s="7" t="s">
        <v>411</v>
      </c>
      <c r="K61" s="7"/>
      <c r="L61" s="7"/>
      <c r="M61" s="7" t="s">
        <v>421</v>
      </c>
      <c r="N61" s="7" t="s">
        <v>40</v>
      </c>
      <c r="O61" s="7" t="s">
        <v>422</v>
      </c>
      <c r="P61" s="7" t="s">
        <v>414</v>
      </c>
      <c r="Q61" s="7" t="s">
        <v>260</v>
      </c>
      <c r="R61" s="7" t="s">
        <v>415</v>
      </c>
      <c r="S61" s="7" t="s">
        <v>416</v>
      </c>
      <c r="T61" s="7" t="s">
        <v>260</v>
      </c>
      <c r="U61" s="7" t="s">
        <v>72</v>
      </c>
    </row>
    <row r="62" spans="5:21" x14ac:dyDescent="0.35">
      <c r="E62" s="2" t="s">
        <v>423</v>
      </c>
      <c r="F62" s="2">
        <v>2702223273</v>
      </c>
      <c r="G62" s="2" t="s">
        <v>424</v>
      </c>
      <c r="H62" s="2" t="s">
        <v>425</v>
      </c>
      <c r="I62" s="2" t="s">
        <v>426</v>
      </c>
      <c r="J62" s="2" t="s">
        <v>37</v>
      </c>
      <c r="K62" s="26" t="s">
        <v>270</v>
      </c>
      <c r="L62" s="26" t="s">
        <v>5</v>
      </c>
      <c r="M62" s="2" t="s">
        <v>421</v>
      </c>
      <c r="N62" s="2" t="s">
        <v>40</v>
      </c>
      <c r="O62" s="3" t="s">
        <v>427</v>
      </c>
      <c r="P62" s="3" t="s">
        <v>71</v>
      </c>
      <c r="Q62" s="3" t="s">
        <v>43</v>
      </c>
      <c r="R62" s="4">
        <v>46055</v>
      </c>
      <c r="S62" s="3" t="s">
        <v>45</v>
      </c>
      <c r="T62" s="3" t="s">
        <v>83</v>
      </c>
      <c r="U62" s="3" t="s">
        <v>72</v>
      </c>
    </row>
    <row r="63" spans="5:21" x14ac:dyDescent="0.35">
      <c r="E63" s="2" t="s">
        <v>428</v>
      </c>
      <c r="F63" s="2">
        <v>2702337382</v>
      </c>
      <c r="G63" s="2" t="s">
        <v>429</v>
      </c>
      <c r="H63" s="2" t="s">
        <v>430</v>
      </c>
      <c r="I63" s="2" t="s">
        <v>431</v>
      </c>
      <c r="J63" s="2" t="s">
        <v>257</v>
      </c>
      <c r="K63" s="29" t="s">
        <v>432</v>
      </c>
      <c r="L63" s="29" t="s">
        <v>1</v>
      </c>
      <c r="M63" s="2" t="s">
        <v>433</v>
      </c>
      <c r="N63" s="2" t="s">
        <v>406</v>
      </c>
      <c r="O63" s="2" t="s">
        <v>260</v>
      </c>
      <c r="P63" s="2" t="s">
        <v>260</v>
      </c>
      <c r="Q63" s="2" t="s">
        <v>260</v>
      </c>
      <c r="R63" s="2" t="s">
        <v>260</v>
      </c>
      <c r="S63" s="2" t="s">
        <v>260</v>
      </c>
      <c r="T63" s="2" t="s">
        <v>260</v>
      </c>
      <c r="U63" s="2" t="s">
        <v>72</v>
      </c>
    </row>
    <row r="64" spans="5:21" x14ac:dyDescent="0.35">
      <c r="E64" s="2" t="s">
        <v>434</v>
      </c>
      <c r="F64" s="2">
        <v>2702232971</v>
      </c>
      <c r="G64" s="2" t="s">
        <v>435</v>
      </c>
      <c r="H64" s="2" t="s">
        <v>436</v>
      </c>
      <c r="I64" s="2" t="s">
        <v>437</v>
      </c>
      <c r="J64" s="2" t="s">
        <v>37</v>
      </c>
      <c r="K64" s="26" t="s">
        <v>173</v>
      </c>
      <c r="L64" s="26" t="s">
        <v>7</v>
      </c>
      <c r="M64" s="2" t="s">
        <v>433</v>
      </c>
      <c r="N64" s="2" t="s">
        <v>54</v>
      </c>
      <c r="O64" s="6" t="s">
        <v>310</v>
      </c>
      <c r="P64" s="6" t="s">
        <v>438</v>
      </c>
      <c r="Q64" s="6" t="s">
        <v>43</v>
      </c>
      <c r="R64" s="25">
        <v>46055</v>
      </c>
      <c r="S64" s="6" t="s">
        <v>45</v>
      </c>
      <c r="T64" s="6" t="s">
        <v>46</v>
      </c>
      <c r="U64" s="6" t="s">
        <v>47</v>
      </c>
    </row>
    <row r="65" spans="5:21" x14ac:dyDescent="0.35">
      <c r="E65" s="2" t="s">
        <v>439</v>
      </c>
      <c r="F65" s="2">
        <v>2702361564</v>
      </c>
      <c r="G65" s="2" t="s">
        <v>440</v>
      </c>
      <c r="H65" s="2" t="s">
        <v>441</v>
      </c>
      <c r="I65" s="2" t="s">
        <v>442</v>
      </c>
      <c r="J65" s="2" t="s">
        <v>37</v>
      </c>
      <c r="K65" s="29" t="s">
        <v>77</v>
      </c>
      <c r="L65" s="29" t="s">
        <v>13</v>
      </c>
      <c r="M65" s="2" t="s">
        <v>443</v>
      </c>
      <c r="N65" s="2" t="s">
        <v>40</v>
      </c>
      <c r="O65" s="12" t="s">
        <v>78</v>
      </c>
      <c r="P65" s="12" t="s">
        <v>79</v>
      </c>
      <c r="Q65" s="12" t="s">
        <v>80</v>
      </c>
      <c r="R65" s="12" t="s">
        <v>81</v>
      </c>
      <c r="S65" s="12" t="s">
        <v>82</v>
      </c>
      <c r="T65" s="12" t="s">
        <v>83</v>
      </c>
      <c r="U65" s="12" t="s">
        <v>72</v>
      </c>
    </row>
    <row r="66" spans="5:21" x14ac:dyDescent="0.35">
      <c r="E66" s="2" t="s">
        <v>444</v>
      </c>
      <c r="F66" s="2">
        <v>2702228545</v>
      </c>
      <c r="G66" s="2" t="s">
        <v>445</v>
      </c>
      <c r="H66" s="2" t="s">
        <v>446</v>
      </c>
      <c r="I66" s="2" t="s">
        <v>447</v>
      </c>
      <c r="J66" s="2" t="s">
        <v>37</v>
      </c>
      <c r="K66" s="24" t="s">
        <v>214</v>
      </c>
      <c r="L66" s="23" t="s">
        <v>0</v>
      </c>
      <c r="M66" s="2" t="s">
        <v>448</v>
      </c>
      <c r="N66" s="2" t="s">
        <v>40</v>
      </c>
      <c r="O66" s="3" t="s">
        <v>107</v>
      </c>
      <c r="P66" s="3" t="s">
        <v>108</v>
      </c>
      <c r="Q66" s="3" t="s">
        <v>109</v>
      </c>
      <c r="R66" s="4">
        <v>46055</v>
      </c>
      <c r="S66" s="3" t="s">
        <v>110</v>
      </c>
      <c r="T66" s="3" t="s">
        <v>46</v>
      </c>
      <c r="U66" s="3" t="s">
        <v>47</v>
      </c>
    </row>
    <row r="67" spans="5:21" x14ac:dyDescent="0.35">
      <c r="E67" s="2" t="s">
        <v>449</v>
      </c>
      <c r="F67" s="2">
        <v>2702361583</v>
      </c>
      <c r="G67" s="2" t="s">
        <v>450</v>
      </c>
      <c r="H67" s="2" t="s">
        <v>451</v>
      </c>
      <c r="I67" s="2" t="s">
        <v>452</v>
      </c>
      <c r="J67" s="2" t="s">
        <v>37</v>
      </c>
      <c r="K67" s="29" t="s">
        <v>38</v>
      </c>
      <c r="L67" s="29" t="s">
        <v>12</v>
      </c>
      <c r="M67" s="2" t="s">
        <v>448</v>
      </c>
      <c r="N67" s="2" t="s">
        <v>40</v>
      </c>
      <c r="O67" s="2" t="s">
        <v>366</v>
      </c>
      <c r="P67" s="2" t="s">
        <v>367</v>
      </c>
      <c r="Q67" s="2" t="s">
        <v>43</v>
      </c>
      <c r="R67" s="2" t="s">
        <v>368</v>
      </c>
      <c r="S67" s="2" t="s">
        <v>369</v>
      </c>
      <c r="T67" s="2" t="s">
        <v>46</v>
      </c>
      <c r="U67" s="2" t="s">
        <v>72</v>
      </c>
    </row>
    <row r="68" spans="5:21" x14ac:dyDescent="0.35">
      <c r="E68" s="2" t="s">
        <v>453</v>
      </c>
      <c r="F68" s="2">
        <v>2702341871</v>
      </c>
      <c r="G68" s="2" t="s">
        <v>454</v>
      </c>
      <c r="H68" s="2" t="s">
        <v>455</v>
      </c>
      <c r="I68" s="2" t="s">
        <v>456</v>
      </c>
      <c r="J68" s="2" t="s">
        <v>37</v>
      </c>
      <c r="K68" s="29" t="s">
        <v>132</v>
      </c>
      <c r="L68" s="29" t="s">
        <v>9</v>
      </c>
      <c r="M68" s="2" t="s">
        <v>448</v>
      </c>
      <c r="N68" s="2" t="s">
        <v>40</v>
      </c>
      <c r="O68" s="6" t="s">
        <v>457</v>
      </c>
      <c r="P68" s="6" t="s">
        <v>326</v>
      </c>
      <c r="Q68" s="6" t="s">
        <v>43</v>
      </c>
      <c r="R68" s="25">
        <v>46055</v>
      </c>
      <c r="S68" s="6" t="s">
        <v>45</v>
      </c>
      <c r="T68" s="6" t="s">
        <v>46</v>
      </c>
      <c r="U68" s="6" t="s">
        <v>47</v>
      </c>
    </row>
    <row r="69" spans="5:21" x14ac:dyDescent="0.35">
      <c r="E69" s="7" t="s">
        <v>458</v>
      </c>
      <c r="F69" s="7">
        <v>2702260306</v>
      </c>
      <c r="G69" s="7" t="s">
        <v>459</v>
      </c>
      <c r="H69" s="7" t="s">
        <v>460</v>
      </c>
      <c r="I69" s="7" t="s">
        <v>461</v>
      </c>
      <c r="J69" s="7" t="s">
        <v>257</v>
      </c>
      <c r="K69" s="29" t="s">
        <v>297</v>
      </c>
      <c r="L69" s="29" t="s">
        <v>3</v>
      </c>
      <c r="M69" s="7" t="s">
        <v>462</v>
      </c>
      <c r="N69" s="7" t="s">
        <v>54</v>
      </c>
      <c r="O69" s="11" t="s">
        <v>260</v>
      </c>
      <c r="P69" s="11" t="s">
        <v>260</v>
      </c>
      <c r="Q69" s="11" t="s">
        <v>260</v>
      </c>
      <c r="R69" s="11" t="s">
        <v>260</v>
      </c>
      <c r="S69" s="11" t="s">
        <v>260</v>
      </c>
      <c r="T69" s="11" t="s">
        <v>260</v>
      </c>
      <c r="U69" s="11" t="s">
        <v>72</v>
      </c>
    </row>
    <row r="70" spans="5:21" x14ac:dyDescent="0.35">
      <c r="E70" s="2" t="s">
        <v>463</v>
      </c>
      <c r="F70" s="2">
        <v>2702228242</v>
      </c>
      <c r="G70" s="2" t="s">
        <v>464</v>
      </c>
      <c r="H70" s="2" t="s">
        <v>465</v>
      </c>
      <c r="I70" s="2" t="s">
        <v>466</v>
      </c>
      <c r="J70" s="2" t="s">
        <v>37</v>
      </c>
      <c r="K70" s="26" t="s">
        <v>158</v>
      </c>
      <c r="L70" s="26" t="s">
        <v>11</v>
      </c>
      <c r="M70" s="2" t="s">
        <v>462</v>
      </c>
      <c r="N70" s="2" t="s">
        <v>40</v>
      </c>
      <c r="O70" s="19" t="s">
        <v>107</v>
      </c>
      <c r="P70" s="19" t="s">
        <v>108</v>
      </c>
      <c r="Q70" s="19" t="s">
        <v>109</v>
      </c>
      <c r="R70" s="20">
        <v>46055</v>
      </c>
      <c r="S70" s="19" t="s">
        <v>110</v>
      </c>
      <c r="T70" s="19" t="s">
        <v>46</v>
      </c>
      <c r="U70" s="19" t="s">
        <v>47</v>
      </c>
    </row>
    <row r="71" spans="5:21" x14ac:dyDescent="0.35">
      <c r="E71" s="2" t="s">
        <v>467</v>
      </c>
      <c r="F71" s="2">
        <v>2702234491</v>
      </c>
      <c r="G71" s="2" t="s">
        <v>468</v>
      </c>
      <c r="H71" s="2" t="s">
        <v>469</v>
      </c>
      <c r="I71" s="2" t="s">
        <v>470</v>
      </c>
      <c r="J71" s="2" t="s">
        <v>257</v>
      </c>
      <c r="K71" s="29" t="s">
        <v>432</v>
      </c>
      <c r="L71" s="29" t="s">
        <v>1</v>
      </c>
      <c r="M71" s="2" t="s">
        <v>471</v>
      </c>
      <c r="N71" s="2" t="s">
        <v>54</v>
      </c>
      <c r="O71" s="2" t="s">
        <v>260</v>
      </c>
      <c r="P71" s="2" t="s">
        <v>260</v>
      </c>
      <c r="Q71" s="2" t="s">
        <v>260</v>
      </c>
      <c r="R71" s="2" t="s">
        <v>260</v>
      </c>
      <c r="S71" s="2" t="s">
        <v>260</v>
      </c>
      <c r="T71" s="2" t="s">
        <v>260</v>
      </c>
      <c r="U71" s="2" t="s">
        <v>72</v>
      </c>
    </row>
    <row r="72" spans="5:21" x14ac:dyDescent="0.35">
      <c r="E72" s="2" t="s">
        <v>472</v>
      </c>
      <c r="F72" s="2">
        <v>2702260262</v>
      </c>
      <c r="G72" s="2" t="s">
        <v>473</v>
      </c>
      <c r="H72" s="2" t="s">
        <v>474</v>
      </c>
      <c r="I72" s="2" t="s">
        <v>475</v>
      </c>
      <c r="J72" s="2" t="s">
        <v>61</v>
      </c>
      <c r="K72" s="26" t="s">
        <v>62</v>
      </c>
      <c r="L72" s="26" t="s">
        <v>8</v>
      </c>
      <c r="M72" s="2" t="s">
        <v>471</v>
      </c>
      <c r="N72" s="2" t="s">
        <v>40</v>
      </c>
      <c r="O72" s="3" t="s">
        <v>64</v>
      </c>
      <c r="P72" s="3" t="s">
        <v>476</v>
      </c>
      <c r="Q72" s="3" t="s">
        <v>109</v>
      </c>
      <c r="R72" s="4">
        <v>46055</v>
      </c>
      <c r="S72" s="4">
        <v>46061</v>
      </c>
      <c r="T72" s="3" t="s">
        <v>66</v>
      </c>
      <c r="U72" s="3" t="s">
        <v>47</v>
      </c>
    </row>
    <row r="73" spans="5:21" x14ac:dyDescent="0.35">
      <c r="E73" s="2" t="s">
        <v>477</v>
      </c>
      <c r="F73" s="2">
        <v>2702262601</v>
      </c>
      <c r="G73" s="2" t="s">
        <v>478</v>
      </c>
      <c r="H73" s="2" t="s">
        <v>479</v>
      </c>
      <c r="I73" s="2" t="s">
        <v>480</v>
      </c>
      <c r="J73" s="2" t="s">
        <v>37</v>
      </c>
      <c r="K73" s="26" t="s">
        <v>173</v>
      </c>
      <c r="L73" s="26" t="s">
        <v>7</v>
      </c>
      <c r="M73" s="2" t="s">
        <v>471</v>
      </c>
      <c r="N73" s="2" t="s">
        <v>54</v>
      </c>
      <c r="O73" s="6" t="s">
        <v>481</v>
      </c>
      <c r="P73" s="6" t="s">
        <v>482</v>
      </c>
      <c r="Q73" s="6" t="s">
        <v>109</v>
      </c>
      <c r="R73" s="25">
        <v>46055</v>
      </c>
      <c r="S73" s="25">
        <v>46061</v>
      </c>
      <c r="T73" s="6" t="s">
        <v>46</v>
      </c>
      <c r="U73" s="6" t="s">
        <v>47</v>
      </c>
    </row>
    <row r="74" spans="5:21" x14ac:dyDescent="0.35">
      <c r="E74" s="2" t="s">
        <v>483</v>
      </c>
      <c r="F74" s="2">
        <v>2702262066</v>
      </c>
      <c r="G74" s="2" t="s">
        <v>484</v>
      </c>
      <c r="H74" s="2" t="s">
        <v>485</v>
      </c>
      <c r="I74" s="2" t="s">
        <v>486</v>
      </c>
      <c r="J74" s="2" t="s">
        <v>37</v>
      </c>
      <c r="K74" s="26" t="s">
        <v>173</v>
      </c>
      <c r="L74" s="26" t="s">
        <v>7</v>
      </c>
      <c r="M74" s="2" t="s">
        <v>487</v>
      </c>
      <c r="N74" s="2" t="s">
        <v>40</v>
      </c>
      <c r="O74" s="2" t="s">
        <v>488</v>
      </c>
      <c r="P74" s="2" t="s">
        <v>482</v>
      </c>
      <c r="Q74" s="2" t="s">
        <v>43</v>
      </c>
      <c r="R74" s="2" t="s">
        <v>44</v>
      </c>
      <c r="S74" s="2" t="s">
        <v>45</v>
      </c>
      <c r="T74" s="2" t="s">
        <v>46</v>
      </c>
      <c r="U74" s="2" t="s">
        <v>47</v>
      </c>
    </row>
    <row r="75" spans="5:21" x14ac:dyDescent="0.35">
      <c r="E75" s="2" t="s">
        <v>489</v>
      </c>
      <c r="F75" s="2">
        <v>2702275535</v>
      </c>
      <c r="G75" s="2" t="s">
        <v>490</v>
      </c>
      <c r="H75" s="2" t="s">
        <v>491</v>
      </c>
      <c r="I75" s="2" t="s">
        <v>492</v>
      </c>
      <c r="J75" s="2" t="s">
        <v>37</v>
      </c>
      <c r="K75" s="29" t="s">
        <v>38</v>
      </c>
      <c r="L75" s="29" t="s">
        <v>12</v>
      </c>
      <c r="M75" s="2" t="s">
        <v>493</v>
      </c>
      <c r="N75" s="2" t="s">
        <v>40</v>
      </c>
      <c r="O75" s="3" t="s">
        <v>366</v>
      </c>
      <c r="P75" s="3" t="s">
        <v>56</v>
      </c>
      <c r="Q75" s="3" t="s">
        <v>43</v>
      </c>
      <c r="R75" s="4">
        <v>46055</v>
      </c>
      <c r="S75" s="3" t="s">
        <v>45</v>
      </c>
      <c r="T75" s="3" t="s">
        <v>46</v>
      </c>
      <c r="U75" s="3" t="s">
        <v>47</v>
      </c>
    </row>
    <row r="76" spans="5:21" x14ac:dyDescent="0.35">
      <c r="E76" s="7" t="s">
        <v>494</v>
      </c>
      <c r="F76" s="7">
        <v>2702280043</v>
      </c>
      <c r="G76" s="7" t="s">
        <v>495</v>
      </c>
      <c r="H76" s="7" t="s">
        <v>496</v>
      </c>
      <c r="I76" s="7" t="s">
        <v>497</v>
      </c>
      <c r="J76" s="7" t="s">
        <v>37</v>
      </c>
      <c r="K76" s="26" t="s">
        <v>297</v>
      </c>
      <c r="L76" s="26" t="s">
        <v>3</v>
      </c>
      <c r="M76" s="7" t="s">
        <v>498</v>
      </c>
      <c r="N76" s="7" t="s">
        <v>40</v>
      </c>
      <c r="O76" s="13" t="s">
        <v>499</v>
      </c>
      <c r="P76" s="13" t="s">
        <v>108</v>
      </c>
      <c r="Q76" s="13" t="s">
        <v>43</v>
      </c>
      <c r="R76" s="17">
        <v>46055</v>
      </c>
      <c r="S76" s="17">
        <v>46420</v>
      </c>
      <c r="T76" s="13" t="s">
        <v>46</v>
      </c>
      <c r="U76" s="13" t="s">
        <v>47</v>
      </c>
    </row>
    <row r="77" spans="5:21" x14ac:dyDescent="0.35">
      <c r="E77" s="2" t="s">
        <v>500</v>
      </c>
      <c r="F77" s="2">
        <v>2702296016</v>
      </c>
      <c r="G77" s="2" t="s">
        <v>501</v>
      </c>
      <c r="H77" s="2" t="s">
        <v>502</v>
      </c>
      <c r="I77" s="2" t="s">
        <v>503</v>
      </c>
      <c r="J77" s="2" t="s">
        <v>37</v>
      </c>
      <c r="K77" s="29" t="s">
        <v>77</v>
      </c>
      <c r="L77" s="29" t="s">
        <v>13</v>
      </c>
      <c r="M77" s="2" t="s">
        <v>504</v>
      </c>
      <c r="N77" s="2" t="s">
        <v>54</v>
      </c>
      <c r="O77" s="12" t="s">
        <v>78</v>
      </c>
      <c r="P77" s="12" t="s">
        <v>79</v>
      </c>
      <c r="Q77" s="12" t="s">
        <v>80</v>
      </c>
      <c r="R77" s="12" t="s">
        <v>81</v>
      </c>
      <c r="S77" s="12" t="s">
        <v>82</v>
      </c>
      <c r="T77" s="12" t="s">
        <v>83</v>
      </c>
      <c r="U77" s="12" t="s">
        <v>72</v>
      </c>
    </row>
    <row r="78" spans="5:21" x14ac:dyDescent="0.35">
      <c r="E78" s="7" t="s">
        <v>505</v>
      </c>
      <c r="F78" s="7">
        <v>2702228873</v>
      </c>
      <c r="G78" s="7" t="s">
        <v>506</v>
      </c>
      <c r="H78" s="7" t="s">
        <v>507</v>
      </c>
      <c r="I78" s="7" t="s">
        <v>508</v>
      </c>
      <c r="J78" s="7" t="s">
        <v>257</v>
      </c>
      <c r="K78" s="29" t="s">
        <v>432</v>
      </c>
      <c r="L78" s="29" t="s">
        <v>1</v>
      </c>
      <c r="M78" s="7" t="s">
        <v>509</v>
      </c>
      <c r="N78" s="7" t="s">
        <v>406</v>
      </c>
      <c r="O78" s="7" t="s">
        <v>260</v>
      </c>
      <c r="P78" s="7" t="s">
        <v>260</v>
      </c>
      <c r="Q78" s="7" t="s">
        <v>260</v>
      </c>
      <c r="R78" s="7" t="s">
        <v>260</v>
      </c>
      <c r="S78" s="7" t="s">
        <v>260</v>
      </c>
      <c r="T78" s="7" t="s">
        <v>260</v>
      </c>
      <c r="U78" s="7" t="s">
        <v>72</v>
      </c>
    </row>
    <row r="79" spans="5:21" x14ac:dyDescent="0.35">
      <c r="E79" s="2" t="s">
        <v>510</v>
      </c>
      <c r="F79" s="2">
        <v>2702379100</v>
      </c>
      <c r="G79" s="2" t="s">
        <v>511</v>
      </c>
      <c r="H79" s="2" t="s">
        <v>512</v>
      </c>
      <c r="I79" s="2" t="s">
        <v>513</v>
      </c>
      <c r="J79" s="2" t="s">
        <v>257</v>
      </c>
      <c r="K79" s="29" t="s">
        <v>297</v>
      </c>
      <c r="L79" s="29" t="s">
        <v>3</v>
      </c>
      <c r="M79" s="2" t="s">
        <v>509</v>
      </c>
      <c r="N79" s="2" t="s">
        <v>54</v>
      </c>
      <c r="O79" s="2" t="s">
        <v>260</v>
      </c>
      <c r="P79" s="2" t="s">
        <v>260</v>
      </c>
      <c r="Q79" s="2" t="s">
        <v>260</v>
      </c>
      <c r="R79" s="2" t="s">
        <v>260</v>
      </c>
      <c r="S79" s="2" t="s">
        <v>260</v>
      </c>
      <c r="T79" s="2" t="s">
        <v>260</v>
      </c>
      <c r="U79" s="2" t="s">
        <v>72</v>
      </c>
    </row>
    <row r="80" spans="5:21" x14ac:dyDescent="0.35">
      <c r="E80" s="2" t="s">
        <v>514</v>
      </c>
      <c r="F80" s="2">
        <v>2702352383</v>
      </c>
      <c r="G80" s="2" t="s">
        <v>515</v>
      </c>
      <c r="H80" s="2" t="s">
        <v>516</v>
      </c>
      <c r="I80" s="2" t="s">
        <v>517</v>
      </c>
      <c r="J80" s="2" t="s">
        <v>37</v>
      </c>
      <c r="K80" s="23" t="s">
        <v>214</v>
      </c>
      <c r="L80" s="23" t="s">
        <v>0</v>
      </c>
      <c r="M80" s="2" t="s">
        <v>509</v>
      </c>
      <c r="N80" s="2" t="s">
        <v>40</v>
      </c>
      <c r="O80" s="3" t="s">
        <v>107</v>
      </c>
      <c r="P80" s="3" t="s">
        <v>108</v>
      </c>
      <c r="Q80" s="3" t="s">
        <v>109</v>
      </c>
      <c r="R80" s="4">
        <v>46055</v>
      </c>
      <c r="S80" s="3" t="s">
        <v>110</v>
      </c>
      <c r="T80" s="3" t="s">
        <v>46</v>
      </c>
      <c r="U80" s="3" t="s">
        <v>47</v>
      </c>
    </row>
    <row r="81" spans="5:21" x14ac:dyDescent="0.35">
      <c r="E81" s="7" t="s">
        <v>518</v>
      </c>
      <c r="F81" s="7">
        <v>2702324202</v>
      </c>
      <c r="G81" s="7" t="s">
        <v>519</v>
      </c>
      <c r="H81" s="7" t="s">
        <v>520</v>
      </c>
      <c r="I81" s="7" t="s">
        <v>521</v>
      </c>
      <c r="J81" s="7" t="s">
        <v>61</v>
      </c>
      <c r="K81" s="29" t="s">
        <v>62</v>
      </c>
      <c r="L81" s="29" t="s">
        <v>8</v>
      </c>
      <c r="M81" s="7" t="s">
        <v>522</v>
      </c>
      <c r="N81" s="7" t="s">
        <v>54</v>
      </c>
      <c r="O81" s="14" t="s">
        <v>64</v>
      </c>
      <c r="P81" s="14" t="s">
        <v>65</v>
      </c>
      <c r="Q81" s="14" t="s">
        <v>43</v>
      </c>
      <c r="R81" s="15">
        <v>46055</v>
      </c>
      <c r="S81" s="15">
        <v>46420</v>
      </c>
      <c r="T81" s="14" t="s">
        <v>66</v>
      </c>
      <c r="U81" s="14" t="s">
        <v>47</v>
      </c>
    </row>
    <row r="82" spans="5:21" x14ac:dyDescent="0.35">
      <c r="E82" s="2" t="s">
        <v>523</v>
      </c>
      <c r="F82" s="2">
        <v>2702374535</v>
      </c>
      <c r="G82" s="2" t="s">
        <v>524</v>
      </c>
      <c r="H82" s="2" t="s">
        <v>525</v>
      </c>
      <c r="I82" s="2" t="s">
        <v>526</v>
      </c>
      <c r="J82" s="2" t="s">
        <v>61</v>
      </c>
      <c r="K82" s="29" t="s">
        <v>62</v>
      </c>
      <c r="L82" s="29" t="s">
        <v>8</v>
      </c>
      <c r="M82" s="2" t="s">
        <v>527</v>
      </c>
      <c r="N82" s="2" t="s">
        <v>54</v>
      </c>
      <c r="O82" s="3" t="s">
        <v>64</v>
      </c>
      <c r="P82" s="3" t="s">
        <v>476</v>
      </c>
      <c r="Q82" s="3" t="s">
        <v>109</v>
      </c>
      <c r="R82" s="4">
        <v>46055</v>
      </c>
      <c r="S82" s="4">
        <v>46061</v>
      </c>
      <c r="T82" s="3" t="s">
        <v>66</v>
      </c>
      <c r="U82" s="3" t="s">
        <v>47</v>
      </c>
    </row>
    <row r="83" spans="5:21" x14ac:dyDescent="0.35">
      <c r="E83" s="7" t="s">
        <v>528</v>
      </c>
      <c r="F83" s="7">
        <v>2702328043</v>
      </c>
      <c r="G83" s="7" t="s">
        <v>529</v>
      </c>
      <c r="H83" s="7" t="s">
        <v>530</v>
      </c>
      <c r="I83" s="7" t="s">
        <v>531</v>
      </c>
      <c r="J83" s="7" t="s">
        <v>37</v>
      </c>
      <c r="K83" s="26" t="s">
        <v>158</v>
      </c>
      <c r="L83" s="26" t="s">
        <v>11</v>
      </c>
      <c r="M83" s="7" t="s">
        <v>527</v>
      </c>
      <c r="N83" s="7" t="s">
        <v>40</v>
      </c>
      <c r="O83" s="9" t="s">
        <v>532</v>
      </c>
      <c r="P83" s="9" t="s">
        <v>533</v>
      </c>
      <c r="Q83" s="9" t="s">
        <v>43</v>
      </c>
      <c r="R83" s="10">
        <v>46055</v>
      </c>
      <c r="S83" s="9" t="s">
        <v>45</v>
      </c>
      <c r="T83" s="9" t="s">
        <v>46</v>
      </c>
      <c r="U83" s="9" t="s">
        <v>47</v>
      </c>
    </row>
    <row r="84" spans="5:21" x14ac:dyDescent="0.35">
      <c r="E84" s="2" t="s">
        <v>534</v>
      </c>
      <c r="F84" s="2">
        <v>2702339835</v>
      </c>
      <c r="G84" s="2" t="s">
        <v>535</v>
      </c>
      <c r="H84" s="2" t="s">
        <v>536</v>
      </c>
      <c r="I84" s="2" t="s">
        <v>537</v>
      </c>
      <c r="J84" s="2" t="s">
        <v>37</v>
      </c>
      <c r="K84" s="29" t="s">
        <v>132</v>
      </c>
      <c r="L84" s="29" t="s">
        <v>9</v>
      </c>
      <c r="M84" s="2" t="s">
        <v>538</v>
      </c>
      <c r="N84" s="2" t="s">
        <v>40</v>
      </c>
      <c r="O84" s="12" t="s">
        <v>332</v>
      </c>
      <c r="P84" s="12" t="s">
        <v>56</v>
      </c>
      <c r="Q84" s="12" t="s">
        <v>43</v>
      </c>
      <c r="R84" s="12" t="s">
        <v>44</v>
      </c>
      <c r="S84" s="12" t="s">
        <v>45</v>
      </c>
      <c r="T84" s="12" t="s">
        <v>83</v>
      </c>
      <c r="U84" s="12" t="s">
        <v>47</v>
      </c>
    </row>
    <row r="85" spans="5:21" x14ac:dyDescent="0.35">
      <c r="E85" s="7" t="s">
        <v>539</v>
      </c>
      <c r="F85" s="7">
        <v>2702232050</v>
      </c>
      <c r="G85" s="7" t="s">
        <v>540</v>
      </c>
      <c r="H85" s="7" t="s">
        <v>541</v>
      </c>
      <c r="I85" s="7" t="s">
        <v>542</v>
      </c>
      <c r="J85" s="7" t="s">
        <v>37</v>
      </c>
      <c r="K85" s="29" t="s">
        <v>38</v>
      </c>
      <c r="L85" s="29" t="s">
        <v>12</v>
      </c>
      <c r="M85" s="7" t="s">
        <v>538</v>
      </c>
      <c r="N85" s="7" t="s">
        <v>40</v>
      </c>
      <c r="O85" s="8" t="s">
        <v>543</v>
      </c>
      <c r="P85" s="8" t="s">
        <v>544</v>
      </c>
      <c r="Q85" s="8" t="s">
        <v>43</v>
      </c>
      <c r="R85" s="16">
        <v>46055</v>
      </c>
      <c r="S85" s="8" t="s">
        <v>45</v>
      </c>
      <c r="T85" s="8" t="s">
        <v>46</v>
      </c>
      <c r="U85" s="8" t="s">
        <v>47</v>
      </c>
    </row>
    <row r="86" spans="5:21" x14ac:dyDescent="0.35">
      <c r="E86" s="2" t="s">
        <v>545</v>
      </c>
      <c r="F86" s="2">
        <v>2702250053</v>
      </c>
      <c r="G86" s="2" t="s">
        <v>546</v>
      </c>
      <c r="H86" s="2" t="s">
        <v>547</v>
      </c>
      <c r="I86" s="2" t="s">
        <v>548</v>
      </c>
      <c r="J86" s="2" t="s">
        <v>37</v>
      </c>
      <c r="K86" s="26" t="s">
        <v>105</v>
      </c>
      <c r="L86" s="26" t="s">
        <v>4</v>
      </c>
      <c r="M86" s="2" t="s">
        <v>549</v>
      </c>
      <c r="N86" s="2" t="s">
        <v>54</v>
      </c>
      <c r="O86" s="3" t="s">
        <v>107</v>
      </c>
      <c r="P86" s="3" t="s">
        <v>108</v>
      </c>
      <c r="Q86" s="3" t="s">
        <v>109</v>
      </c>
      <c r="R86" s="4">
        <v>46055</v>
      </c>
      <c r="S86" s="3" t="s">
        <v>110</v>
      </c>
      <c r="T86" s="3" t="s">
        <v>46</v>
      </c>
      <c r="U86" s="3" t="s">
        <v>72</v>
      </c>
    </row>
    <row r="87" spans="5:21" x14ac:dyDescent="0.35">
      <c r="E87" s="2" t="s">
        <v>550</v>
      </c>
      <c r="F87" s="2">
        <v>2702260382</v>
      </c>
      <c r="G87" s="2" t="s">
        <v>551</v>
      </c>
      <c r="H87" s="2" t="s">
        <v>552</v>
      </c>
      <c r="I87" s="2" t="s">
        <v>553</v>
      </c>
      <c r="J87" s="2" t="s">
        <v>37</v>
      </c>
      <c r="K87" s="26" t="s">
        <v>150</v>
      </c>
      <c r="L87" s="26" t="s">
        <v>6</v>
      </c>
      <c r="M87" s="2" t="s">
        <v>549</v>
      </c>
      <c r="N87" s="2" t="s">
        <v>40</v>
      </c>
      <c r="O87" s="6" t="s">
        <v>554</v>
      </c>
      <c r="P87" s="6" t="s">
        <v>438</v>
      </c>
      <c r="Q87" s="6" t="s">
        <v>43</v>
      </c>
      <c r="R87" s="25">
        <v>46055</v>
      </c>
      <c r="S87" s="25">
        <v>46420</v>
      </c>
      <c r="T87" s="6" t="s">
        <v>46</v>
      </c>
      <c r="U87" s="6" t="s">
        <v>72</v>
      </c>
    </row>
    <row r="88" spans="5:21" x14ac:dyDescent="0.35">
      <c r="E88" s="2" t="s">
        <v>555</v>
      </c>
      <c r="F88" s="2">
        <v>2702279621</v>
      </c>
      <c r="G88" s="2" t="s">
        <v>556</v>
      </c>
      <c r="H88" s="2" t="s">
        <v>557</v>
      </c>
      <c r="I88" s="2" t="s">
        <v>558</v>
      </c>
      <c r="J88" s="2" t="s">
        <v>61</v>
      </c>
      <c r="K88" s="29" t="s">
        <v>62</v>
      </c>
      <c r="L88" s="29" t="s">
        <v>8</v>
      </c>
      <c r="M88" s="2" t="s">
        <v>559</v>
      </c>
      <c r="N88" s="2" t="s">
        <v>40</v>
      </c>
      <c r="O88" s="19" t="s">
        <v>64</v>
      </c>
      <c r="P88" s="19" t="s">
        <v>476</v>
      </c>
      <c r="Q88" s="19" t="s">
        <v>109</v>
      </c>
      <c r="R88" s="20">
        <v>46055</v>
      </c>
      <c r="S88" s="20">
        <v>46061</v>
      </c>
      <c r="T88" s="19" t="s">
        <v>66</v>
      </c>
      <c r="U88" s="19" t="s">
        <v>47</v>
      </c>
    </row>
    <row r="89" spans="5:21" x14ac:dyDescent="0.35">
      <c r="E89" s="2" t="s">
        <v>560</v>
      </c>
      <c r="F89" s="2">
        <v>2702262564</v>
      </c>
      <c r="G89" s="2" t="s">
        <v>561</v>
      </c>
      <c r="H89" s="2" t="s">
        <v>562</v>
      </c>
      <c r="I89" s="2" t="s">
        <v>563</v>
      </c>
      <c r="J89" s="2" t="s">
        <v>37</v>
      </c>
      <c r="K89" s="7" t="s">
        <v>214</v>
      </c>
      <c r="L89" s="2" t="s">
        <v>0</v>
      </c>
      <c r="M89" s="2" t="s">
        <v>564</v>
      </c>
      <c r="N89" s="2" t="s">
        <v>40</v>
      </c>
      <c r="O89" s="3" t="s">
        <v>107</v>
      </c>
      <c r="P89" s="3" t="s">
        <v>108</v>
      </c>
      <c r="Q89" s="3" t="s">
        <v>109</v>
      </c>
      <c r="R89" s="4">
        <v>46055</v>
      </c>
      <c r="S89" s="3" t="s">
        <v>110</v>
      </c>
      <c r="T89" s="3" t="s">
        <v>46</v>
      </c>
      <c r="U89" s="3" t="s">
        <v>47</v>
      </c>
    </row>
    <row r="90" spans="5:21" x14ac:dyDescent="0.35">
      <c r="E90" s="7" t="s">
        <v>565</v>
      </c>
      <c r="F90" s="7">
        <v>2702230966</v>
      </c>
      <c r="G90" s="7" t="s">
        <v>566</v>
      </c>
      <c r="H90" s="7" t="s">
        <v>567</v>
      </c>
      <c r="I90" s="7" t="s">
        <v>568</v>
      </c>
      <c r="J90" s="7" t="s">
        <v>37</v>
      </c>
      <c r="K90" s="26" t="s">
        <v>258</v>
      </c>
      <c r="L90" s="26" t="s">
        <v>10</v>
      </c>
      <c r="M90" s="7" t="s">
        <v>569</v>
      </c>
      <c r="N90" s="7" t="s">
        <v>54</v>
      </c>
      <c r="O90" s="13" t="s">
        <v>107</v>
      </c>
      <c r="P90" s="13" t="s">
        <v>108</v>
      </c>
      <c r="Q90" s="13" t="s">
        <v>109</v>
      </c>
      <c r="R90" s="17">
        <v>46055</v>
      </c>
      <c r="S90" s="13" t="s">
        <v>110</v>
      </c>
      <c r="T90" s="13" t="s">
        <v>46</v>
      </c>
      <c r="U90" s="13" t="s">
        <v>47</v>
      </c>
    </row>
    <row r="91" spans="5:21" x14ac:dyDescent="0.35">
      <c r="E91" s="2" t="s">
        <v>570</v>
      </c>
      <c r="F91" s="2">
        <v>2702314460</v>
      </c>
      <c r="G91" s="2" t="s">
        <v>571</v>
      </c>
      <c r="H91" s="2" t="s">
        <v>572</v>
      </c>
      <c r="I91" s="2" t="s">
        <v>573</v>
      </c>
      <c r="J91" s="2" t="s">
        <v>257</v>
      </c>
      <c r="K91" s="26" t="s">
        <v>297</v>
      </c>
      <c r="L91" s="26" t="s">
        <v>3</v>
      </c>
      <c r="M91" s="2" t="s">
        <v>574</v>
      </c>
      <c r="N91" s="2" t="s">
        <v>54</v>
      </c>
      <c r="O91" s="12" t="s">
        <v>260</v>
      </c>
      <c r="P91" s="12" t="s">
        <v>260</v>
      </c>
      <c r="Q91" s="12" t="s">
        <v>260</v>
      </c>
      <c r="R91" s="12" t="s">
        <v>260</v>
      </c>
      <c r="S91" s="12" t="s">
        <v>260</v>
      </c>
      <c r="T91" s="12" t="s">
        <v>260</v>
      </c>
      <c r="U91" s="12" t="s">
        <v>72</v>
      </c>
    </row>
    <row r="92" spans="5:21" x14ac:dyDescent="0.35">
      <c r="E92" s="7" t="s">
        <v>575</v>
      </c>
      <c r="F92" s="7">
        <v>2702379132</v>
      </c>
      <c r="G92" s="7" t="s">
        <v>576</v>
      </c>
      <c r="H92" s="7" t="s">
        <v>577</v>
      </c>
      <c r="I92" s="7" t="s">
        <v>578</v>
      </c>
      <c r="J92" s="7" t="s">
        <v>37</v>
      </c>
      <c r="K92" s="26" t="s">
        <v>77</v>
      </c>
      <c r="L92" s="26" t="s">
        <v>13</v>
      </c>
      <c r="M92" s="7" t="s">
        <v>574</v>
      </c>
      <c r="N92" s="7" t="s">
        <v>40</v>
      </c>
      <c r="O92" s="14" t="s">
        <v>107</v>
      </c>
      <c r="P92" s="14" t="s">
        <v>108</v>
      </c>
      <c r="Q92" s="14" t="s">
        <v>109</v>
      </c>
      <c r="R92" s="15">
        <v>46055</v>
      </c>
      <c r="S92" s="14" t="s">
        <v>110</v>
      </c>
      <c r="T92" s="14" t="s">
        <v>46</v>
      </c>
      <c r="U92" s="14" t="s">
        <v>47</v>
      </c>
    </row>
    <row r="93" spans="5:21" x14ac:dyDescent="0.35">
      <c r="E93" s="2" t="s">
        <v>579</v>
      </c>
      <c r="F93" s="2">
        <v>2702359793</v>
      </c>
      <c r="G93" s="2" t="s">
        <v>580</v>
      </c>
      <c r="H93" s="2" t="s">
        <v>581</v>
      </c>
      <c r="I93" s="2" t="s">
        <v>582</v>
      </c>
      <c r="J93" s="2" t="s">
        <v>37</v>
      </c>
      <c r="K93" s="26" t="s">
        <v>105</v>
      </c>
      <c r="L93" s="26" t="s">
        <v>4</v>
      </c>
      <c r="M93" s="2" t="s">
        <v>574</v>
      </c>
      <c r="N93" s="2" t="s">
        <v>40</v>
      </c>
      <c r="O93" s="2" t="s">
        <v>583</v>
      </c>
      <c r="P93" s="2" t="s">
        <v>71</v>
      </c>
      <c r="Q93" s="2" t="s">
        <v>43</v>
      </c>
      <c r="R93" s="2" t="s">
        <v>44</v>
      </c>
      <c r="S93" s="2" t="s">
        <v>45</v>
      </c>
      <c r="T93" s="2" t="s">
        <v>46</v>
      </c>
      <c r="U93" s="2" t="s">
        <v>72</v>
      </c>
    </row>
    <row r="94" spans="5:21" x14ac:dyDescent="0.35">
      <c r="E94" s="2" t="s">
        <v>584</v>
      </c>
      <c r="F94" s="2">
        <v>2702332330</v>
      </c>
      <c r="G94" s="2" t="s">
        <v>585</v>
      </c>
      <c r="H94" s="2" t="s">
        <v>586</v>
      </c>
      <c r="I94" s="2" t="s">
        <v>587</v>
      </c>
      <c r="J94" s="2" t="s">
        <v>37</v>
      </c>
      <c r="K94" s="29" t="s">
        <v>270</v>
      </c>
      <c r="L94" s="29" t="s">
        <v>5</v>
      </c>
      <c r="M94" s="2" t="s">
        <v>574</v>
      </c>
      <c r="N94" s="2" t="s">
        <v>40</v>
      </c>
      <c r="O94" s="3" t="s">
        <v>588</v>
      </c>
      <c r="P94" s="3" t="s">
        <v>589</v>
      </c>
      <c r="Q94" s="3" t="s">
        <v>43</v>
      </c>
      <c r="R94" s="4">
        <v>46055</v>
      </c>
      <c r="S94" s="3" t="s">
        <v>45</v>
      </c>
      <c r="T94" s="3" t="s">
        <v>83</v>
      </c>
      <c r="U94" s="3" t="s">
        <v>47</v>
      </c>
    </row>
    <row r="95" spans="5:21" x14ac:dyDescent="0.35">
      <c r="E95" s="2" t="s">
        <v>590</v>
      </c>
      <c r="F95" s="2">
        <v>2702262476</v>
      </c>
      <c r="G95" s="2" t="s">
        <v>591</v>
      </c>
      <c r="H95" s="2" t="s">
        <v>592</v>
      </c>
      <c r="I95" s="2" t="s">
        <v>593</v>
      </c>
      <c r="J95" s="2" t="s">
        <v>257</v>
      </c>
      <c r="K95" s="29" t="s">
        <v>297</v>
      </c>
      <c r="L95" s="29" t="s">
        <v>3</v>
      </c>
      <c r="M95" s="2" t="s">
        <v>594</v>
      </c>
      <c r="N95" s="2" t="s">
        <v>595</v>
      </c>
      <c r="O95" s="12" t="s">
        <v>260</v>
      </c>
      <c r="P95" s="12" t="s">
        <v>260</v>
      </c>
      <c r="Q95" s="12" t="s">
        <v>260</v>
      </c>
      <c r="R95" s="12" t="s">
        <v>260</v>
      </c>
      <c r="S95" s="12" t="s">
        <v>260</v>
      </c>
      <c r="T95" s="12" t="s">
        <v>260</v>
      </c>
      <c r="U95" s="12" t="s">
        <v>72</v>
      </c>
    </row>
    <row r="96" spans="5:21" x14ac:dyDescent="0.35">
      <c r="E96" s="7" t="s">
        <v>596</v>
      </c>
      <c r="F96" s="7">
        <v>2702331763</v>
      </c>
      <c r="G96" s="7" t="s">
        <v>597</v>
      </c>
      <c r="H96" s="7" t="s">
        <v>598</v>
      </c>
      <c r="I96" s="7" t="s">
        <v>599</v>
      </c>
      <c r="J96" s="7" t="s">
        <v>37</v>
      </c>
      <c r="K96" s="29" t="s">
        <v>173</v>
      </c>
      <c r="L96" s="29" t="s">
        <v>7</v>
      </c>
      <c r="M96" s="7" t="s">
        <v>594</v>
      </c>
      <c r="N96" s="7" t="s">
        <v>406</v>
      </c>
      <c r="O96" s="11" t="s">
        <v>292</v>
      </c>
      <c r="P96" s="11" t="s">
        <v>600</v>
      </c>
      <c r="Q96" s="11" t="s">
        <v>43</v>
      </c>
      <c r="R96" s="11" t="s">
        <v>44</v>
      </c>
      <c r="S96" s="11" t="s">
        <v>153</v>
      </c>
      <c r="T96" s="11" t="s">
        <v>46</v>
      </c>
      <c r="U96" s="11" t="s">
        <v>72</v>
      </c>
    </row>
    <row r="97" spans="5:21" x14ac:dyDescent="0.35">
      <c r="E97" s="2" t="s">
        <v>601</v>
      </c>
      <c r="F97" s="2">
        <v>2702267262</v>
      </c>
      <c r="G97" s="2" t="s">
        <v>602</v>
      </c>
      <c r="H97" s="2" t="s">
        <v>603</v>
      </c>
      <c r="I97" s="2" t="s">
        <v>604</v>
      </c>
      <c r="J97" s="2" t="s">
        <v>37</v>
      </c>
      <c r="K97" s="26" t="s">
        <v>105</v>
      </c>
      <c r="L97" s="26" t="s">
        <v>4</v>
      </c>
      <c r="M97" s="2" t="s">
        <v>605</v>
      </c>
      <c r="N97" s="2" t="s">
        <v>40</v>
      </c>
      <c r="O97" s="3" t="s">
        <v>107</v>
      </c>
      <c r="P97" s="3" t="s">
        <v>108</v>
      </c>
      <c r="Q97" s="3" t="s">
        <v>109</v>
      </c>
      <c r="R97" s="4">
        <v>46055</v>
      </c>
      <c r="S97" s="3" t="s">
        <v>110</v>
      </c>
      <c r="T97" s="3" t="s">
        <v>46</v>
      </c>
      <c r="U97" s="3" t="s">
        <v>47</v>
      </c>
    </row>
    <row r="98" spans="5:21" x14ac:dyDescent="0.35">
      <c r="E98" s="2" t="s">
        <v>606</v>
      </c>
      <c r="F98" s="2">
        <v>2702231861</v>
      </c>
      <c r="G98" s="2" t="s">
        <v>607</v>
      </c>
      <c r="H98" s="2" t="s">
        <v>608</v>
      </c>
      <c r="I98" s="2" t="s">
        <v>609</v>
      </c>
      <c r="J98" s="2" t="s">
        <v>37</v>
      </c>
      <c r="K98" s="26" t="s">
        <v>150</v>
      </c>
      <c r="L98" s="26" t="s">
        <v>6</v>
      </c>
      <c r="M98" s="2" t="s">
        <v>605</v>
      </c>
      <c r="N98" s="2" t="s">
        <v>40</v>
      </c>
      <c r="O98" s="6" t="s">
        <v>610</v>
      </c>
      <c r="P98" s="6" t="s">
        <v>589</v>
      </c>
      <c r="Q98" s="6" t="s">
        <v>43</v>
      </c>
      <c r="R98" s="25">
        <v>46055</v>
      </c>
      <c r="S98" s="6" t="s">
        <v>45</v>
      </c>
      <c r="T98" s="6" t="s">
        <v>83</v>
      </c>
      <c r="U98" s="6" t="s">
        <v>47</v>
      </c>
    </row>
    <row r="99" spans="5:21" x14ac:dyDescent="0.35">
      <c r="E99" s="2" t="s">
        <v>611</v>
      </c>
      <c r="F99" s="2">
        <v>2702280421</v>
      </c>
      <c r="G99" s="2" t="s">
        <v>612</v>
      </c>
      <c r="H99" s="2" t="s">
        <v>613</v>
      </c>
      <c r="I99" s="2" t="s">
        <v>614</v>
      </c>
      <c r="J99" s="2" t="s">
        <v>257</v>
      </c>
      <c r="K99" s="29" t="s">
        <v>432</v>
      </c>
      <c r="L99" s="29" t="s">
        <v>1</v>
      </c>
      <c r="M99" s="2" t="s">
        <v>615</v>
      </c>
      <c r="N99" s="2" t="s">
        <v>40</v>
      </c>
      <c r="O99" s="2" t="s">
        <v>260</v>
      </c>
      <c r="P99" s="2" t="s">
        <v>260</v>
      </c>
      <c r="Q99" s="2" t="s">
        <v>260</v>
      </c>
      <c r="R99" s="2" t="s">
        <v>260</v>
      </c>
      <c r="S99" s="2" t="s">
        <v>260</v>
      </c>
      <c r="T99" s="2" t="s">
        <v>260</v>
      </c>
      <c r="U99" s="2" t="s">
        <v>72</v>
      </c>
    </row>
    <row r="100" spans="5:21" x14ac:dyDescent="0.35">
      <c r="E100" s="2" t="s">
        <v>616</v>
      </c>
      <c r="F100" s="2">
        <v>2702300234</v>
      </c>
      <c r="G100" s="2" t="s">
        <v>617</v>
      </c>
      <c r="H100" s="2" t="s">
        <v>618</v>
      </c>
      <c r="I100" s="2" t="s">
        <v>619</v>
      </c>
      <c r="J100" s="2" t="s">
        <v>37</v>
      </c>
      <c r="K100" s="26" t="s">
        <v>105</v>
      </c>
      <c r="L100" s="26" t="s">
        <v>4</v>
      </c>
      <c r="M100" s="2" t="s">
        <v>615</v>
      </c>
      <c r="N100" s="2" t="s">
        <v>54</v>
      </c>
      <c r="O100" s="3" t="s">
        <v>107</v>
      </c>
      <c r="P100" s="3" t="s">
        <v>108</v>
      </c>
      <c r="Q100" s="3" t="s">
        <v>109</v>
      </c>
      <c r="R100" s="4">
        <v>46055</v>
      </c>
      <c r="S100" s="3" t="s">
        <v>110</v>
      </c>
      <c r="T100" s="3" t="s">
        <v>46</v>
      </c>
      <c r="U100" s="3" t="s">
        <v>72</v>
      </c>
    </row>
    <row r="101" spans="5:21" x14ac:dyDescent="0.35">
      <c r="E101" s="7" t="s">
        <v>620</v>
      </c>
      <c r="F101" s="7">
        <v>2702343776</v>
      </c>
      <c r="G101" s="7" t="s">
        <v>621</v>
      </c>
      <c r="H101" s="7" t="s">
        <v>622</v>
      </c>
      <c r="I101" s="7" t="s">
        <v>623</v>
      </c>
      <c r="J101" s="7" t="s">
        <v>37</v>
      </c>
      <c r="K101" s="7" t="s">
        <v>214</v>
      </c>
      <c r="L101" s="2" t="s">
        <v>0</v>
      </c>
      <c r="M101" s="7" t="s">
        <v>615</v>
      </c>
      <c r="N101" s="7" t="s">
        <v>54</v>
      </c>
      <c r="O101" s="13" t="s">
        <v>107</v>
      </c>
      <c r="P101" s="13" t="s">
        <v>108</v>
      </c>
      <c r="Q101" s="13" t="s">
        <v>109</v>
      </c>
      <c r="R101" s="17">
        <v>46055</v>
      </c>
      <c r="S101" s="13" t="s">
        <v>110</v>
      </c>
      <c r="T101" s="13" t="s">
        <v>46</v>
      </c>
      <c r="U101" s="13" t="s">
        <v>72</v>
      </c>
    </row>
    <row r="102" spans="5:21" x14ac:dyDescent="0.35">
      <c r="E102" s="7" t="s">
        <v>624</v>
      </c>
      <c r="F102" s="7">
        <v>2702272193</v>
      </c>
      <c r="G102" s="7" t="s">
        <v>625</v>
      </c>
      <c r="H102" s="7" t="s">
        <v>626</v>
      </c>
      <c r="I102" s="7" t="s">
        <v>627</v>
      </c>
      <c r="J102" s="7" t="s">
        <v>257</v>
      </c>
      <c r="K102" s="29" t="s">
        <v>297</v>
      </c>
      <c r="L102" s="29" t="s">
        <v>3</v>
      </c>
      <c r="M102" s="7" t="s">
        <v>628</v>
      </c>
      <c r="N102" s="7" t="s">
        <v>40</v>
      </c>
      <c r="O102" s="7" t="s">
        <v>260</v>
      </c>
      <c r="P102" s="7" t="s">
        <v>260</v>
      </c>
      <c r="Q102" s="7" t="s">
        <v>260</v>
      </c>
      <c r="R102" s="7" t="s">
        <v>260</v>
      </c>
      <c r="S102" s="7" t="s">
        <v>260</v>
      </c>
      <c r="T102" s="7" t="s">
        <v>260</v>
      </c>
      <c r="U102" s="7" t="s">
        <v>72</v>
      </c>
    </row>
    <row r="103" spans="5:21" x14ac:dyDescent="0.35">
      <c r="E103" s="7" t="s">
        <v>629</v>
      </c>
      <c r="F103" s="7">
        <v>2702228141</v>
      </c>
      <c r="G103" s="7" t="s">
        <v>630</v>
      </c>
      <c r="H103" s="7" t="s">
        <v>631</v>
      </c>
      <c r="I103" s="7" t="s">
        <v>632</v>
      </c>
      <c r="J103" s="7" t="s">
        <v>257</v>
      </c>
      <c r="K103" s="26" t="s">
        <v>258</v>
      </c>
      <c r="L103" s="26" t="s">
        <v>10</v>
      </c>
      <c r="M103" s="7" t="s">
        <v>633</v>
      </c>
      <c r="N103" s="7" t="s">
        <v>40</v>
      </c>
      <c r="O103" s="7" t="s">
        <v>260</v>
      </c>
      <c r="P103" s="7" t="s">
        <v>260</v>
      </c>
      <c r="Q103" s="7" t="s">
        <v>260</v>
      </c>
      <c r="R103" s="7" t="s">
        <v>260</v>
      </c>
      <c r="S103" s="7" t="s">
        <v>260</v>
      </c>
      <c r="T103" s="7" t="s">
        <v>260</v>
      </c>
      <c r="U103" s="7" t="s">
        <v>72</v>
      </c>
    </row>
    <row r="104" spans="5:21" x14ac:dyDescent="0.35">
      <c r="E104" s="2" t="s">
        <v>634</v>
      </c>
      <c r="F104" s="2">
        <v>2702231981</v>
      </c>
      <c r="G104" s="2" t="s">
        <v>635</v>
      </c>
      <c r="H104" s="2" t="s">
        <v>636</v>
      </c>
      <c r="I104" s="2" t="s">
        <v>637</v>
      </c>
      <c r="J104" s="2" t="s">
        <v>257</v>
      </c>
      <c r="K104" s="26" t="s">
        <v>432</v>
      </c>
      <c r="L104" s="26" t="s">
        <v>1</v>
      </c>
      <c r="M104" s="2" t="s">
        <v>633</v>
      </c>
      <c r="N104" s="2" t="s">
        <v>54</v>
      </c>
      <c r="O104" s="2" t="s">
        <v>260</v>
      </c>
      <c r="P104" s="2" t="s">
        <v>260</v>
      </c>
      <c r="Q104" s="2" t="s">
        <v>260</v>
      </c>
      <c r="R104" s="2" t="s">
        <v>260</v>
      </c>
      <c r="S104" s="2" t="s">
        <v>260</v>
      </c>
      <c r="T104" s="2" t="s">
        <v>260</v>
      </c>
      <c r="U104" s="2" t="s">
        <v>72</v>
      </c>
    </row>
    <row r="105" spans="5:21" x14ac:dyDescent="0.35">
      <c r="E105" s="2" t="s">
        <v>638</v>
      </c>
      <c r="F105" s="2">
        <v>2702232984</v>
      </c>
      <c r="G105" s="2" t="s">
        <v>639</v>
      </c>
      <c r="H105" s="2" t="s">
        <v>640</v>
      </c>
      <c r="I105" s="2" t="s">
        <v>641</v>
      </c>
      <c r="J105" s="2" t="s">
        <v>37</v>
      </c>
      <c r="K105" s="7" t="s">
        <v>214</v>
      </c>
      <c r="L105" s="2" t="s">
        <v>0</v>
      </c>
      <c r="M105" s="2" t="s">
        <v>633</v>
      </c>
      <c r="N105" s="2" t="s">
        <v>40</v>
      </c>
      <c r="O105" s="3" t="s">
        <v>107</v>
      </c>
      <c r="P105" s="3" t="s">
        <v>108</v>
      </c>
      <c r="Q105" s="3" t="s">
        <v>109</v>
      </c>
      <c r="R105" s="4">
        <v>46055</v>
      </c>
      <c r="S105" s="3" t="s">
        <v>110</v>
      </c>
      <c r="T105" s="3" t="s">
        <v>46</v>
      </c>
      <c r="U105" s="3" t="s">
        <v>47</v>
      </c>
    </row>
    <row r="106" spans="5:21" x14ac:dyDescent="0.35">
      <c r="E106" s="2" t="s">
        <v>642</v>
      </c>
      <c r="F106" s="2">
        <v>2702380891</v>
      </c>
      <c r="G106" s="2" t="s">
        <v>643</v>
      </c>
      <c r="H106" s="2" t="s">
        <v>644</v>
      </c>
      <c r="I106" s="2" t="s">
        <v>645</v>
      </c>
      <c r="J106" s="2" t="s">
        <v>37</v>
      </c>
      <c r="K106" s="26" t="s">
        <v>150</v>
      </c>
      <c r="L106" s="26" t="s">
        <v>6</v>
      </c>
      <c r="M106" s="2" t="s">
        <v>633</v>
      </c>
      <c r="N106" s="2" t="s">
        <v>54</v>
      </c>
      <c r="O106" s="2" t="s">
        <v>646</v>
      </c>
      <c r="P106" s="2" t="s">
        <v>647</v>
      </c>
      <c r="Q106" s="2" t="s">
        <v>43</v>
      </c>
      <c r="R106" s="2" t="s">
        <v>648</v>
      </c>
      <c r="S106" s="2" t="s">
        <v>45</v>
      </c>
      <c r="T106" s="2" t="s">
        <v>46</v>
      </c>
      <c r="U106" s="2" t="s">
        <v>72</v>
      </c>
    </row>
    <row r="107" spans="5:21" x14ac:dyDescent="0.35">
      <c r="E107" s="2" t="s">
        <v>649</v>
      </c>
      <c r="F107" s="2">
        <v>2702321352</v>
      </c>
      <c r="G107" s="2" t="s">
        <v>650</v>
      </c>
      <c r="H107" s="2" t="s">
        <v>651</v>
      </c>
      <c r="I107" s="2" t="s">
        <v>652</v>
      </c>
      <c r="J107" s="2" t="s">
        <v>257</v>
      </c>
      <c r="K107" s="26" t="s">
        <v>258</v>
      </c>
      <c r="L107" s="26" t="s">
        <v>10</v>
      </c>
      <c r="M107" s="2" t="s">
        <v>653</v>
      </c>
      <c r="N107" s="2" t="s">
        <v>54</v>
      </c>
      <c r="O107" s="2" t="s">
        <v>260</v>
      </c>
      <c r="P107" s="2" t="s">
        <v>260</v>
      </c>
      <c r="Q107" s="2" t="s">
        <v>260</v>
      </c>
      <c r="R107" s="2" t="s">
        <v>260</v>
      </c>
      <c r="S107" s="2" t="s">
        <v>260</v>
      </c>
      <c r="T107" s="2" t="s">
        <v>260</v>
      </c>
      <c r="U107" s="2" t="s">
        <v>72</v>
      </c>
    </row>
    <row r="108" spans="5:21" x14ac:dyDescent="0.35">
      <c r="E108" s="2" t="s">
        <v>654</v>
      </c>
      <c r="F108" s="2">
        <v>2702358134</v>
      </c>
      <c r="G108" s="2" t="s">
        <v>655</v>
      </c>
      <c r="H108" s="2" t="s">
        <v>656</v>
      </c>
      <c r="I108" s="2" t="s">
        <v>657</v>
      </c>
      <c r="J108" s="2" t="s">
        <v>37</v>
      </c>
      <c r="K108" s="26" t="s">
        <v>150</v>
      </c>
      <c r="L108" s="26" t="s">
        <v>6</v>
      </c>
      <c r="M108" s="2" t="s">
        <v>653</v>
      </c>
      <c r="N108" s="2" t="s">
        <v>54</v>
      </c>
      <c r="O108" s="3" t="s">
        <v>658</v>
      </c>
      <c r="P108" s="3" t="s">
        <v>304</v>
      </c>
      <c r="Q108" s="3" t="s">
        <v>43</v>
      </c>
      <c r="R108" s="4">
        <v>46055</v>
      </c>
      <c r="S108" s="4">
        <v>46420</v>
      </c>
      <c r="T108" s="3" t="s">
        <v>122</v>
      </c>
      <c r="U108" s="3" t="s">
        <v>47</v>
      </c>
    </row>
    <row r="109" spans="5:21" x14ac:dyDescent="0.35">
      <c r="E109" s="7" t="s">
        <v>659</v>
      </c>
      <c r="F109" s="7">
        <v>2702227864</v>
      </c>
      <c r="G109" s="7" t="s">
        <v>660</v>
      </c>
      <c r="H109" s="7" t="s">
        <v>661</v>
      </c>
      <c r="I109" s="7" t="s">
        <v>662</v>
      </c>
      <c r="J109" s="7" t="s">
        <v>257</v>
      </c>
      <c r="K109" s="26" t="s">
        <v>258</v>
      </c>
      <c r="L109" s="26" t="s">
        <v>10</v>
      </c>
      <c r="M109" s="7" t="s">
        <v>663</v>
      </c>
      <c r="N109" s="7" t="s">
        <v>40</v>
      </c>
      <c r="O109" s="7" t="s">
        <v>260</v>
      </c>
      <c r="P109" s="7" t="s">
        <v>260</v>
      </c>
      <c r="Q109" s="7" t="s">
        <v>260</v>
      </c>
      <c r="R109" s="7" t="s">
        <v>260</v>
      </c>
      <c r="S109" s="7" t="s">
        <v>260</v>
      </c>
      <c r="T109" s="7" t="s">
        <v>260</v>
      </c>
      <c r="U109" s="7" t="s">
        <v>72</v>
      </c>
    </row>
    <row r="110" spans="5:21" x14ac:dyDescent="0.35">
      <c r="E110" s="2" t="s">
        <v>664</v>
      </c>
      <c r="F110" s="2">
        <v>2702358191</v>
      </c>
      <c r="G110" s="2" t="s">
        <v>665</v>
      </c>
      <c r="H110" s="2" t="s">
        <v>666</v>
      </c>
      <c r="I110" s="2" t="s">
        <v>667</v>
      </c>
      <c r="J110" s="2" t="s">
        <v>257</v>
      </c>
      <c r="K110" s="26" t="s">
        <v>258</v>
      </c>
      <c r="L110" s="26" t="s">
        <v>10</v>
      </c>
      <c r="M110" s="2" t="s">
        <v>663</v>
      </c>
      <c r="N110" s="2" t="s">
        <v>54</v>
      </c>
      <c r="O110" s="2" t="s">
        <v>260</v>
      </c>
      <c r="P110" s="2" t="s">
        <v>260</v>
      </c>
      <c r="Q110" s="2" t="s">
        <v>260</v>
      </c>
      <c r="R110" s="2" t="s">
        <v>260</v>
      </c>
      <c r="S110" s="2" t="s">
        <v>260</v>
      </c>
      <c r="T110" s="2" t="s">
        <v>260</v>
      </c>
      <c r="U110" s="2" t="s">
        <v>72</v>
      </c>
    </row>
    <row r="111" spans="5:21" x14ac:dyDescent="0.35">
      <c r="E111" s="7" t="s">
        <v>668</v>
      </c>
      <c r="F111" s="7">
        <v>2702236055</v>
      </c>
      <c r="G111" s="7" t="s">
        <v>669</v>
      </c>
      <c r="H111" s="7" t="s">
        <v>670</v>
      </c>
      <c r="I111" s="7" t="s">
        <v>671</v>
      </c>
      <c r="J111" s="7" t="s">
        <v>257</v>
      </c>
      <c r="K111" s="26" t="s">
        <v>432</v>
      </c>
      <c r="L111" s="26" t="s">
        <v>1</v>
      </c>
      <c r="M111" s="7" t="s">
        <v>672</v>
      </c>
      <c r="N111" s="7" t="s">
        <v>40</v>
      </c>
      <c r="O111" s="7" t="s">
        <v>260</v>
      </c>
      <c r="P111" s="7" t="s">
        <v>260</v>
      </c>
      <c r="Q111" s="7" t="s">
        <v>260</v>
      </c>
      <c r="R111" s="7" t="s">
        <v>260</v>
      </c>
      <c r="S111" s="7" t="s">
        <v>260</v>
      </c>
      <c r="T111" s="7" t="s">
        <v>260</v>
      </c>
      <c r="U111" s="7" t="s">
        <v>47</v>
      </c>
    </row>
    <row r="112" spans="5:21" x14ac:dyDescent="0.35">
      <c r="E112" s="28" t="s">
        <v>673</v>
      </c>
      <c r="F112" s="24">
        <v>2702228886</v>
      </c>
      <c r="G112" s="24" t="s">
        <v>674</v>
      </c>
      <c r="H112" s="24" t="s">
        <v>675</v>
      </c>
      <c r="I112" s="24" t="s">
        <v>676</v>
      </c>
      <c r="J112" s="24" t="s">
        <v>37</v>
      </c>
      <c r="K112" s="26" t="s">
        <v>270</v>
      </c>
      <c r="L112" s="26" t="s">
        <v>5</v>
      </c>
      <c r="M112" s="24" t="s">
        <v>672</v>
      </c>
      <c r="N112" s="24" t="s">
        <v>40</v>
      </c>
      <c r="O112" s="8" t="s">
        <v>677</v>
      </c>
      <c r="P112" s="8" t="s">
        <v>71</v>
      </c>
      <c r="Q112" s="8" t="s">
        <v>43</v>
      </c>
      <c r="R112" s="16">
        <v>46055</v>
      </c>
      <c r="S112" s="16">
        <v>46389</v>
      </c>
      <c r="T112" s="8" t="s">
        <v>83</v>
      </c>
      <c r="U112" s="8" t="s">
        <v>72</v>
      </c>
    </row>
    <row r="113" spans="5:21" x14ac:dyDescent="0.35">
      <c r="E113" s="2" t="s">
        <v>668</v>
      </c>
      <c r="F113" s="2">
        <v>2702233785</v>
      </c>
      <c r="G113" s="2" t="s">
        <v>669</v>
      </c>
      <c r="H113" s="2" t="s">
        <v>670</v>
      </c>
      <c r="I113" s="2" t="s">
        <v>671</v>
      </c>
      <c r="J113" s="2" t="s">
        <v>37</v>
      </c>
      <c r="K113" s="26" t="s">
        <v>38</v>
      </c>
      <c r="L113" s="26" t="s">
        <v>12</v>
      </c>
      <c r="M113" s="2" t="s">
        <v>672</v>
      </c>
      <c r="N113" s="2" t="s">
        <v>40</v>
      </c>
      <c r="O113" s="2" t="s">
        <v>41</v>
      </c>
      <c r="P113" s="2" t="s">
        <v>71</v>
      </c>
      <c r="Q113" s="2" t="s">
        <v>43</v>
      </c>
      <c r="R113" s="2" t="s">
        <v>44</v>
      </c>
      <c r="S113" s="2" t="s">
        <v>45</v>
      </c>
      <c r="T113" s="2" t="s">
        <v>46</v>
      </c>
      <c r="U113" s="2" t="s">
        <v>47</v>
      </c>
    </row>
    <row r="114" spans="5:21" x14ac:dyDescent="0.35">
      <c r="E114" s="7" t="s">
        <v>678</v>
      </c>
      <c r="F114" s="7">
        <v>2702224162</v>
      </c>
      <c r="G114" s="7" t="s">
        <v>679</v>
      </c>
      <c r="H114" s="7" t="s">
        <v>680</v>
      </c>
      <c r="I114" s="7" t="s">
        <v>681</v>
      </c>
      <c r="J114" s="7" t="s">
        <v>257</v>
      </c>
      <c r="K114" s="26" t="s">
        <v>432</v>
      </c>
      <c r="L114" s="26" t="s">
        <v>1</v>
      </c>
      <c r="M114" s="7" t="s">
        <v>682</v>
      </c>
      <c r="N114" s="7" t="s">
        <v>40</v>
      </c>
      <c r="O114" s="7" t="s">
        <v>260</v>
      </c>
      <c r="P114" s="7" t="s">
        <v>260</v>
      </c>
      <c r="Q114" s="7" t="s">
        <v>260</v>
      </c>
      <c r="R114" s="7" t="s">
        <v>260</v>
      </c>
      <c r="S114" s="7" t="s">
        <v>260</v>
      </c>
      <c r="T114" s="7" t="s">
        <v>260</v>
      </c>
      <c r="U114" s="7" t="s">
        <v>72</v>
      </c>
    </row>
    <row r="115" spans="5:21" x14ac:dyDescent="0.35">
      <c r="E115" s="7" t="s">
        <v>683</v>
      </c>
      <c r="F115" s="7">
        <v>2702249316</v>
      </c>
      <c r="G115" s="7" t="s">
        <v>684</v>
      </c>
      <c r="H115" s="7" t="s">
        <v>685</v>
      </c>
      <c r="I115" s="7" t="s">
        <v>686</v>
      </c>
      <c r="J115" s="7" t="s">
        <v>37</v>
      </c>
      <c r="K115" s="26" t="s">
        <v>132</v>
      </c>
      <c r="L115" s="26" t="s">
        <v>9</v>
      </c>
      <c r="M115" s="7" t="s">
        <v>687</v>
      </c>
      <c r="N115" s="7" t="s">
        <v>40</v>
      </c>
      <c r="O115" s="13" t="s">
        <v>688</v>
      </c>
      <c r="P115" s="13" t="s">
        <v>134</v>
      </c>
      <c r="Q115" s="13" t="s">
        <v>43</v>
      </c>
      <c r="R115" s="17">
        <v>46055</v>
      </c>
      <c r="S115" s="13" t="s">
        <v>45</v>
      </c>
      <c r="T115" s="13" t="s">
        <v>46</v>
      </c>
      <c r="U115" s="13" t="s">
        <v>47</v>
      </c>
    </row>
    <row r="116" spans="5:21" x14ac:dyDescent="0.35">
      <c r="E116" s="7" t="s">
        <v>689</v>
      </c>
      <c r="F116" s="7">
        <v>2702265742</v>
      </c>
      <c r="G116" s="7" t="s">
        <v>690</v>
      </c>
      <c r="H116" s="7" t="s">
        <v>691</v>
      </c>
      <c r="I116" s="7" t="s">
        <v>692</v>
      </c>
      <c r="J116" s="7" t="s">
        <v>37</v>
      </c>
      <c r="K116" s="29" t="s">
        <v>150</v>
      </c>
      <c r="L116" s="29" t="s">
        <v>6</v>
      </c>
      <c r="M116" s="7" t="s">
        <v>687</v>
      </c>
      <c r="N116" s="7" t="s">
        <v>54</v>
      </c>
      <c r="O116" s="8" t="s">
        <v>252</v>
      </c>
      <c r="P116" s="8" t="s">
        <v>121</v>
      </c>
      <c r="Q116" s="8" t="s">
        <v>43</v>
      </c>
      <c r="R116" s="16">
        <v>46358</v>
      </c>
      <c r="S116" s="16">
        <v>46723</v>
      </c>
      <c r="T116" s="8" t="s">
        <v>46</v>
      </c>
      <c r="U116" s="8" t="s">
        <v>47</v>
      </c>
    </row>
    <row r="117" spans="5:21" x14ac:dyDescent="0.35">
      <c r="E117" s="2" t="s">
        <v>693</v>
      </c>
      <c r="F117" s="2">
        <v>2702385671</v>
      </c>
      <c r="G117" s="2" t="s">
        <v>694</v>
      </c>
      <c r="H117" s="2" t="s">
        <v>695</v>
      </c>
      <c r="I117" s="2" t="s">
        <v>696</v>
      </c>
      <c r="J117" s="2" t="s">
        <v>37</v>
      </c>
      <c r="K117" s="29" t="s">
        <v>270</v>
      </c>
      <c r="L117" s="29" t="s">
        <v>5</v>
      </c>
      <c r="M117" s="2" t="s">
        <v>697</v>
      </c>
      <c r="N117" s="2" t="s">
        <v>54</v>
      </c>
      <c r="O117" s="3" t="s">
        <v>107</v>
      </c>
      <c r="P117" s="3" t="s">
        <v>108</v>
      </c>
      <c r="Q117" s="3" t="s">
        <v>109</v>
      </c>
      <c r="R117" s="4">
        <v>46055</v>
      </c>
      <c r="S117" s="3" t="s">
        <v>110</v>
      </c>
      <c r="T117" s="3" t="s">
        <v>46</v>
      </c>
      <c r="U117" s="3" t="s">
        <v>47</v>
      </c>
    </row>
    <row r="118" spans="5:21" x14ac:dyDescent="0.35">
      <c r="E118" s="2" t="s">
        <v>698</v>
      </c>
      <c r="F118" s="2">
        <v>2702262394</v>
      </c>
      <c r="G118" s="2" t="s">
        <v>699</v>
      </c>
      <c r="H118" s="2" t="s">
        <v>700</v>
      </c>
      <c r="I118" s="2" t="s">
        <v>701</v>
      </c>
      <c r="J118" s="2" t="s">
        <v>37</v>
      </c>
      <c r="K118" s="29" t="s">
        <v>158</v>
      </c>
      <c r="L118" s="29" t="s">
        <v>11</v>
      </c>
      <c r="M118" s="2" t="s">
        <v>697</v>
      </c>
      <c r="N118" s="2" t="s">
        <v>40</v>
      </c>
      <c r="O118" s="3" t="s">
        <v>107</v>
      </c>
      <c r="P118" s="3" t="s">
        <v>108</v>
      </c>
      <c r="Q118" s="3" t="s">
        <v>109</v>
      </c>
      <c r="R118" s="4">
        <v>46055</v>
      </c>
      <c r="S118" s="3" t="s">
        <v>110</v>
      </c>
      <c r="T118" s="3" t="s">
        <v>46</v>
      </c>
      <c r="U118" s="3" t="s">
        <v>72</v>
      </c>
    </row>
    <row r="119" spans="5:21" x14ac:dyDescent="0.35">
      <c r="E119" s="7" t="s">
        <v>702</v>
      </c>
      <c r="F119" s="7">
        <v>2702232675</v>
      </c>
      <c r="G119" s="7" t="s">
        <v>703</v>
      </c>
      <c r="H119" s="7" t="s">
        <v>704</v>
      </c>
      <c r="I119" s="7" t="s">
        <v>705</v>
      </c>
      <c r="J119" s="7" t="s">
        <v>37</v>
      </c>
      <c r="K119" s="26" t="s">
        <v>132</v>
      </c>
      <c r="L119" s="26" t="s">
        <v>9</v>
      </c>
      <c r="M119" s="7" t="s">
        <v>706</v>
      </c>
      <c r="N119" s="7" t="s">
        <v>40</v>
      </c>
      <c r="O119" s="8" t="s">
        <v>707</v>
      </c>
      <c r="P119" s="8" t="s">
        <v>315</v>
      </c>
      <c r="Q119" s="8" t="s">
        <v>43</v>
      </c>
      <c r="R119" s="16">
        <v>46055</v>
      </c>
      <c r="S119" s="8" t="s">
        <v>45</v>
      </c>
      <c r="T119" s="8" t="s">
        <v>46</v>
      </c>
      <c r="U119" s="8" t="s">
        <v>47</v>
      </c>
    </row>
    <row r="120" spans="5:21" x14ac:dyDescent="0.35">
      <c r="E120" s="2" t="s">
        <v>708</v>
      </c>
      <c r="F120" s="2">
        <v>2702231104</v>
      </c>
      <c r="G120" s="2" t="s">
        <v>709</v>
      </c>
      <c r="H120" s="2" t="s">
        <v>710</v>
      </c>
      <c r="I120" s="2" t="s">
        <v>711</v>
      </c>
      <c r="J120" s="2" t="s">
        <v>257</v>
      </c>
      <c r="K120" s="26" t="s">
        <v>258</v>
      </c>
      <c r="L120" s="26" t="s">
        <v>10</v>
      </c>
      <c r="M120" s="2" t="s">
        <v>712</v>
      </c>
      <c r="N120" s="2" t="s">
        <v>54</v>
      </c>
      <c r="O120" s="12" t="s">
        <v>260</v>
      </c>
      <c r="P120" s="12" t="s">
        <v>260</v>
      </c>
      <c r="Q120" s="12" t="s">
        <v>260</v>
      </c>
      <c r="R120" s="12" t="s">
        <v>260</v>
      </c>
      <c r="S120" s="12" t="s">
        <v>260</v>
      </c>
      <c r="T120" s="12" t="s">
        <v>260</v>
      </c>
      <c r="U120" s="12" t="s">
        <v>72</v>
      </c>
    </row>
    <row r="121" spans="5:21" x14ac:dyDescent="0.35">
      <c r="E121" s="7" t="s">
        <v>713</v>
      </c>
      <c r="F121" s="7">
        <v>2702279956</v>
      </c>
      <c r="G121" s="7" t="s">
        <v>714</v>
      </c>
      <c r="H121" s="7" t="s">
        <v>715</v>
      </c>
      <c r="I121" s="7" t="s">
        <v>716</v>
      </c>
      <c r="J121" s="7" t="s">
        <v>37</v>
      </c>
      <c r="K121" s="26" t="s">
        <v>158</v>
      </c>
      <c r="L121" s="26" t="s">
        <v>11</v>
      </c>
      <c r="M121" s="7" t="s">
        <v>712</v>
      </c>
      <c r="N121" s="7" t="s">
        <v>40</v>
      </c>
      <c r="O121" s="14" t="s">
        <v>107</v>
      </c>
      <c r="P121" s="14" t="s">
        <v>108</v>
      </c>
      <c r="Q121" s="14" t="s">
        <v>109</v>
      </c>
      <c r="R121" s="15">
        <v>46055</v>
      </c>
      <c r="S121" s="14" t="s">
        <v>110</v>
      </c>
      <c r="T121" s="14" t="s">
        <v>46</v>
      </c>
      <c r="U121" s="14" t="s">
        <v>47</v>
      </c>
    </row>
    <row r="122" spans="5:21" x14ac:dyDescent="0.35">
      <c r="E122" s="7" t="s">
        <v>717</v>
      </c>
      <c r="F122" s="7">
        <v>2702282540</v>
      </c>
      <c r="G122" s="7" t="s">
        <v>718</v>
      </c>
      <c r="H122" s="7" t="s">
        <v>719</v>
      </c>
      <c r="I122" s="7" t="s">
        <v>720</v>
      </c>
      <c r="J122" s="7" t="s">
        <v>37</v>
      </c>
      <c r="K122" s="26" t="s">
        <v>270</v>
      </c>
      <c r="L122" s="26" t="s">
        <v>5</v>
      </c>
      <c r="M122" s="7" t="s">
        <v>721</v>
      </c>
      <c r="N122" s="7" t="s">
        <v>40</v>
      </c>
      <c r="O122" s="14" t="s">
        <v>107</v>
      </c>
      <c r="P122" s="14" t="s">
        <v>108</v>
      </c>
      <c r="Q122" s="14" t="s">
        <v>109</v>
      </c>
      <c r="R122" s="15">
        <v>46055</v>
      </c>
      <c r="S122" s="14" t="s">
        <v>110</v>
      </c>
      <c r="T122" s="14" t="s">
        <v>46</v>
      </c>
      <c r="U122" s="14" t="s">
        <v>72</v>
      </c>
    </row>
    <row r="123" spans="5:21" x14ac:dyDescent="0.35">
      <c r="E123" s="7" t="s">
        <v>722</v>
      </c>
      <c r="F123" s="7">
        <v>2702243174</v>
      </c>
      <c r="G123" s="7" t="s">
        <v>723</v>
      </c>
      <c r="H123" s="7" t="s">
        <v>724</v>
      </c>
      <c r="I123" s="7" t="s">
        <v>725</v>
      </c>
      <c r="J123" s="7" t="s">
        <v>37</v>
      </c>
      <c r="K123" s="26" t="s">
        <v>132</v>
      </c>
      <c r="L123" s="26" t="s">
        <v>9</v>
      </c>
      <c r="M123" s="7" t="s">
        <v>721</v>
      </c>
      <c r="N123" s="7" t="s">
        <v>54</v>
      </c>
      <c r="O123" s="14" t="s">
        <v>726</v>
      </c>
      <c r="P123" s="14" t="s">
        <v>56</v>
      </c>
      <c r="Q123" s="14" t="s">
        <v>43</v>
      </c>
      <c r="R123" s="15">
        <v>46055</v>
      </c>
      <c r="S123" s="14" t="s">
        <v>45</v>
      </c>
      <c r="T123" s="14" t="s">
        <v>46</v>
      </c>
      <c r="U123" s="14" t="s">
        <v>47</v>
      </c>
    </row>
    <row r="124" spans="5:21" x14ac:dyDescent="0.35">
      <c r="E124" s="7" t="s">
        <v>727</v>
      </c>
      <c r="F124" s="7">
        <v>2702361545</v>
      </c>
      <c r="G124" s="7" t="s">
        <v>728</v>
      </c>
      <c r="H124" s="7" t="s">
        <v>729</v>
      </c>
      <c r="I124" s="7" t="s">
        <v>730</v>
      </c>
      <c r="J124" s="7" t="s">
        <v>37</v>
      </c>
      <c r="K124" s="26" t="s">
        <v>77</v>
      </c>
      <c r="L124" s="26" t="s">
        <v>13</v>
      </c>
      <c r="M124" s="7" t="s">
        <v>731</v>
      </c>
      <c r="N124" s="7" t="s">
        <v>732</v>
      </c>
      <c r="O124" s="14" t="s">
        <v>733</v>
      </c>
      <c r="P124" s="14" t="s">
        <v>326</v>
      </c>
      <c r="Q124" s="14" t="s">
        <v>43</v>
      </c>
      <c r="R124" s="15">
        <v>46055</v>
      </c>
      <c r="S124" s="14" t="s">
        <v>45</v>
      </c>
      <c r="T124" s="14" t="s">
        <v>46</v>
      </c>
      <c r="U124" s="14" t="s">
        <v>72</v>
      </c>
    </row>
    <row r="125" spans="5:21" x14ac:dyDescent="0.35">
      <c r="E125" s="7" t="s">
        <v>734</v>
      </c>
      <c r="F125" s="7">
        <v>2702233532</v>
      </c>
      <c r="G125" s="7" t="s">
        <v>735</v>
      </c>
      <c r="H125" s="7" t="s">
        <v>736</v>
      </c>
      <c r="I125" s="7" t="s">
        <v>737</v>
      </c>
      <c r="J125" s="7" t="s">
        <v>61</v>
      </c>
      <c r="K125" s="26" t="s">
        <v>62</v>
      </c>
      <c r="L125" s="26" t="s">
        <v>8</v>
      </c>
      <c r="M125" s="7" t="s">
        <v>738</v>
      </c>
      <c r="N125" s="7" t="s">
        <v>40</v>
      </c>
      <c r="O125" s="14" t="s">
        <v>64</v>
      </c>
      <c r="P125" s="14" t="s">
        <v>400</v>
      </c>
      <c r="Q125" s="14" t="s">
        <v>109</v>
      </c>
      <c r="R125" s="15">
        <v>46055</v>
      </c>
      <c r="S125" s="15">
        <v>46061</v>
      </c>
      <c r="T125" s="14" t="s">
        <v>66</v>
      </c>
      <c r="U125" s="14" t="s">
        <v>47</v>
      </c>
    </row>
    <row r="126" spans="5:21" x14ac:dyDescent="0.35">
      <c r="E126" s="2" t="s">
        <v>739</v>
      </c>
      <c r="F126" s="2">
        <v>2702236111</v>
      </c>
      <c r="G126" s="2" t="s">
        <v>740</v>
      </c>
      <c r="H126" s="2" t="s">
        <v>741</v>
      </c>
      <c r="I126" s="2" t="s">
        <v>742</v>
      </c>
      <c r="J126" s="2" t="s">
        <v>37</v>
      </c>
      <c r="K126" s="26" t="s">
        <v>132</v>
      </c>
      <c r="L126" s="26" t="s">
        <v>9</v>
      </c>
      <c r="M126" s="2" t="s">
        <v>738</v>
      </c>
      <c r="N126" s="2" t="s">
        <v>40</v>
      </c>
      <c r="O126" s="6" t="s">
        <v>743</v>
      </c>
      <c r="P126" s="6" t="s">
        <v>200</v>
      </c>
      <c r="Q126" s="6" t="s">
        <v>43</v>
      </c>
      <c r="R126" s="25">
        <v>46055</v>
      </c>
      <c r="S126" s="6" t="s">
        <v>45</v>
      </c>
      <c r="T126" s="6" t="s">
        <v>83</v>
      </c>
      <c r="U126" s="6" t="s">
        <v>47</v>
      </c>
    </row>
    <row r="127" spans="5:21" x14ac:dyDescent="0.35">
      <c r="E127" s="7" t="s">
        <v>744</v>
      </c>
      <c r="F127" s="7">
        <v>2602208750</v>
      </c>
      <c r="G127" s="7" t="s">
        <v>745</v>
      </c>
      <c r="H127" s="7" t="s">
        <v>746</v>
      </c>
      <c r="I127" s="7" t="s">
        <v>747</v>
      </c>
      <c r="J127" s="7" t="s">
        <v>37</v>
      </c>
      <c r="K127" s="26" t="s">
        <v>132</v>
      </c>
      <c r="L127" s="26" t="s">
        <v>9</v>
      </c>
      <c r="M127" s="7" t="s">
        <v>738</v>
      </c>
      <c r="N127" s="7" t="s">
        <v>40</v>
      </c>
      <c r="O127" s="13" t="s">
        <v>748</v>
      </c>
      <c r="P127" s="13" t="s">
        <v>121</v>
      </c>
      <c r="Q127" s="13" t="s">
        <v>43</v>
      </c>
      <c r="R127" s="17">
        <v>46358</v>
      </c>
      <c r="S127" s="17">
        <v>46723</v>
      </c>
      <c r="T127" s="13" t="s">
        <v>83</v>
      </c>
      <c r="U127" s="13" t="s">
        <v>72</v>
      </c>
    </row>
    <row r="128" spans="5:21" x14ac:dyDescent="0.35">
      <c r="E128" s="2" t="s">
        <v>749</v>
      </c>
      <c r="F128" s="2">
        <v>2702361961</v>
      </c>
      <c r="G128" s="2" t="s">
        <v>750</v>
      </c>
      <c r="H128" s="2" t="s">
        <v>751</v>
      </c>
      <c r="I128" s="2" t="s">
        <v>752</v>
      </c>
      <c r="J128" s="2" t="s">
        <v>257</v>
      </c>
      <c r="K128" s="26" t="s">
        <v>258</v>
      </c>
      <c r="L128" s="26" t="s">
        <v>10</v>
      </c>
      <c r="M128" s="2" t="s">
        <v>753</v>
      </c>
      <c r="N128" s="2" t="s">
        <v>54</v>
      </c>
      <c r="O128" s="2" t="s">
        <v>260</v>
      </c>
      <c r="P128" s="2" t="s">
        <v>260</v>
      </c>
      <c r="Q128" s="2" t="s">
        <v>260</v>
      </c>
      <c r="R128" s="2" t="s">
        <v>260</v>
      </c>
      <c r="S128" s="2" t="s">
        <v>260</v>
      </c>
      <c r="T128" s="2" t="s">
        <v>260</v>
      </c>
      <c r="U128" s="2" t="s">
        <v>72</v>
      </c>
    </row>
    <row r="129" spans="5:21" x14ac:dyDescent="0.35">
      <c r="E129" s="2" t="s">
        <v>754</v>
      </c>
      <c r="F129" s="2">
        <v>2702235046</v>
      </c>
      <c r="G129" s="2" t="s">
        <v>755</v>
      </c>
      <c r="H129" s="2" t="s">
        <v>756</v>
      </c>
      <c r="I129" s="2" t="s">
        <v>757</v>
      </c>
      <c r="J129" s="2" t="s">
        <v>257</v>
      </c>
      <c r="K129" s="26" t="s">
        <v>297</v>
      </c>
      <c r="L129" s="26" t="s">
        <v>3</v>
      </c>
      <c r="M129" s="2" t="s">
        <v>753</v>
      </c>
      <c r="N129" s="2" t="s">
        <v>54</v>
      </c>
      <c r="O129" s="2" t="s">
        <v>260</v>
      </c>
      <c r="P129" s="2" t="s">
        <v>260</v>
      </c>
      <c r="Q129" s="2" t="s">
        <v>260</v>
      </c>
      <c r="R129" s="2" t="s">
        <v>260</v>
      </c>
      <c r="S129" s="2" t="s">
        <v>260</v>
      </c>
      <c r="T129" s="2" t="s">
        <v>260</v>
      </c>
      <c r="U129" s="2" t="s">
        <v>72</v>
      </c>
    </row>
    <row r="130" spans="5:21" x14ac:dyDescent="0.35">
      <c r="E130" s="7" t="s">
        <v>758</v>
      </c>
      <c r="F130" s="7">
        <v>2702379145</v>
      </c>
      <c r="G130" s="7" t="s">
        <v>759</v>
      </c>
      <c r="H130" s="7" t="s">
        <v>760</v>
      </c>
      <c r="I130" s="7" t="s">
        <v>761</v>
      </c>
      <c r="J130" s="7" t="s">
        <v>257</v>
      </c>
      <c r="K130" s="26" t="s">
        <v>297</v>
      </c>
      <c r="L130" s="26" t="s">
        <v>3</v>
      </c>
      <c r="M130" s="7" t="s">
        <v>762</v>
      </c>
      <c r="N130" s="7" t="s">
        <v>54</v>
      </c>
      <c r="O130" s="7" t="s">
        <v>260</v>
      </c>
      <c r="P130" s="7" t="s">
        <v>260</v>
      </c>
      <c r="Q130" s="7" t="s">
        <v>260</v>
      </c>
      <c r="R130" s="7" t="s">
        <v>260</v>
      </c>
      <c r="S130" s="7" t="s">
        <v>260</v>
      </c>
      <c r="T130" s="7" t="s">
        <v>260</v>
      </c>
      <c r="U130" s="7" t="s">
        <v>72</v>
      </c>
    </row>
    <row r="131" spans="5:21" x14ac:dyDescent="0.35">
      <c r="E131" s="2" t="s">
        <v>763</v>
      </c>
      <c r="F131" s="2">
        <v>2702324253</v>
      </c>
      <c r="G131" s="2" t="s">
        <v>764</v>
      </c>
      <c r="H131" s="2" t="s">
        <v>765</v>
      </c>
      <c r="I131" s="2" t="s">
        <v>766</v>
      </c>
      <c r="J131" s="2" t="s">
        <v>257</v>
      </c>
      <c r="K131" s="26" t="s">
        <v>258</v>
      </c>
      <c r="L131" s="26" t="s">
        <v>10</v>
      </c>
      <c r="M131" s="2" t="s">
        <v>767</v>
      </c>
      <c r="N131" s="2" t="s">
        <v>54</v>
      </c>
      <c r="O131" s="3" t="s">
        <v>768</v>
      </c>
      <c r="P131" s="3" t="s">
        <v>769</v>
      </c>
      <c r="Q131" s="3" t="s">
        <v>770</v>
      </c>
      <c r="R131" s="4">
        <v>46025</v>
      </c>
      <c r="S131" s="3" t="s">
        <v>110</v>
      </c>
      <c r="T131" s="5" t="s">
        <v>260</v>
      </c>
      <c r="U131" s="3" t="s">
        <v>47</v>
      </c>
    </row>
    <row r="132" spans="5:21" x14ac:dyDescent="0.35">
      <c r="E132" s="7" t="s">
        <v>771</v>
      </c>
      <c r="F132" s="7">
        <v>2702267174</v>
      </c>
      <c r="G132" s="7" t="s">
        <v>772</v>
      </c>
      <c r="H132" s="7" t="s">
        <v>773</v>
      </c>
      <c r="I132" s="7" t="s">
        <v>774</v>
      </c>
      <c r="J132" s="7" t="s">
        <v>37</v>
      </c>
      <c r="K132" s="26" t="s">
        <v>132</v>
      </c>
      <c r="L132" s="26" t="s">
        <v>9</v>
      </c>
      <c r="M132" s="7" t="s">
        <v>775</v>
      </c>
      <c r="N132" s="7" t="s">
        <v>40</v>
      </c>
      <c r="O132" s="8" t="s">
        <v>776</v>
      </c>
      <c r="P132" s="8" t="s">
        <v>121</v>
      </c>
      <c r="Q132" s="8" t="s">
        <v>43</v>
      </c>
      <c r="R132" s="16">
        <v>46297</v>
      </c>
      <c r="S132" s="16">
        <v>46662</v>
      </c>
      <c r="T132" s="8" t="s">
        <v>46</v>
      </c>
      <c r="U132" s="8" t="s">
        <v>72</v>
      </c>
    </row>
    <row r="133" spans="5:21" x14ac:dyDescent="0.35">
      <c r="E133" s="7" t="s">
        <v>777</v>
      </c>
      <c r="F133" s="7">
        <v>2702304592</v>
      </c>
      <c r="G133" s="7" t="s">
        <v>778</v>
      </c>
      <c r="H133" s="7" t="s">
        <v>779</v>
      </c>
      <c r="I133" s="7" t="s">
        <v>780</v>
      </c>
      <c r="J133" s="7" t="s">
        <v>257</v>
      </c>
      <c r="K133" s="29" t="s">
        <v>258</v>
      </c>
      <c r="L133" s="29" t="s">
        <v>10</v>
      </c>
      <c r="M133" s="7" t="s">
        <v>781</v>
      </c>
      <c r="N133" s="7" t="s">
        <v>54</v>
      </c>
      <c r="O133" s="7" t="s">
        <v>260</v>
      </c>
      <c r="P133" s="7" t="s">
        <v>260</v>
      </c>
      <c r="Q133" s="7" t="s">
        <v>260</v>
      </c>
      <c r="R133" s="7" t="s">
        <v>260</v>
      </c>
      <c r="S133" s="7" t="s">
        <v>260</v>
      </c>
      <c r="T133" s="7" t="s">
        <v>260</v>
      </c>
      <c r="U133" s="7" t="s">
        <v>72</v>
      </c>
    </row>
    <row r="134" spans="5:21" x14ac:dyDescent="0.35">
      <c r="E134" s="7" t="s">
        <v>782</v>
      </c>
      <c r="F134" s="7">
        <v>2702309403</v>
      </c>
      <c r="G134" s="7" t="s">
        <v>783</v>
      </c>
      <c r="H134" s="7" t="s">
        <v>784</v>
      </c>
      <c r="I134" s="7" t="s">
        <v>785</v>
      </c>
      <c r="J134" s="7" t="s">
        <v>37</v>
      </c>
      <c r="K134" s="29" t="s">
        <v>105</v>
      </c>
      <c r="L134" s="29" t="s">
        <v>4</v>
      </c>
      <c r="M134" s="7" t="s">
        <v>781</v>
      </c>
      <c r="N134" s="7" t="s">
        <v>40</v>
      </c>
      <c r="O134" s="13" t="s">
        <v>107</v>
      </c>
      <c r="P134" s="13" t="s">
        <v>108</v>
      </c>
      <c r="Q134" s="13" t="s">
        <v>109</v>
      </c>
      <c r="R134" s="17">
        <v>46055</v>
      </c>
      <c r="S134" s="13" t="s">
        <v>110</v>
      </c>
      <c r="T134" s="13" t="s">
        <v>46</v>
      </c>
      <c r="U134" s="13" t="s">
        <v>47</v>
      </c>
    </row>
    <row r="135" spans="5:21" x14ac:dyDescent="0.35">
      <c r="E135" s="2" t="s">
        <v>786</v>
      </c>
      <c r="F135" s="2">
        <v>2702260155</v>
      </c>
      <c r="G135" s="2" t="s">
        <v>787</v>
      </c>
      <c r="H135" s="2" t="s">
        <v>788</v>
      </c>
      <c r="I135" s="2" t="s">
        <v>789</v>
      </c>
      <c r="J135" s="2" t="s">
        <v>257</v>
      </c>
      <c r="K135" s="26" t="s">
        <v>297</v>
      </c>
      <c r="L135" s="26" t="s">
        <v>3</v>
      </c>
      <c r="M135" s="2" t="s">
        <v>790</v>
      </c>
      <c r="N135" s="2" t="s">
        <v>406</v>
      </c>
      <c r="O135" s="2" t="s">
        <v>260</v>
      </c>
      <c r="P135" s="2" t="s">
        <v>260</v>
      </c>
      <c r="Q135" s="2" t="s">
        <v>260</v>
      </c>
      <c r="R135" s="2" t="s">
        <v>260</v>
      </c>
      <c r="S135" s="2" t="s">
        <v>260</v>
      </c>
      <c r="T135" s="2" t="s">
        <v>260</v>
      </c>
      <c r="U135" s="2" t="s">
        <v>72</v>
      </c>
    </row>
    <row r="136" spans="5:21" x14ac:dyDescent="0.35">
      <c r="E136" s="2" t="s">
        <v>791</v>
      </c>
      <c r="F136" s="2">
        <v>2702409854</v>
      </c>
      <c r="G136" s="2" t="s">
        <v>792</v>
      </c>
      <c r="H136" s="2" t="s">
        <v>793</v>
      </c>
      <c r="I136" s="2" t="s">
        <v>794</v>
      </c>
      <c r="J136" s="2" t="s">
        <v>37</v>
      </c>
      <c r="K136" s="29" t="s">
        <v>150</v>
      </c>
      <c r="L136" s="29" t="s">
        <v>6</v>
      </c>
      <c r="M136" s="2" t="s">
        <v>795</v>
      </c>
      <c r="N136" s="2" t="s">
        <v>406</v>
      </c>
      <c r="O136" s="3" t="s">
        <v>796</v>
      </c>
      <c r="P136" s="3" t="s">
        <v>326</v>
      </c>
      <c r="Q136" s="3" t="s">
        <v>43</v>
      </c>
      <c r="R136" s="4">
        <v>46267</v>
      </c>
      <c r="S136" s="4">
        <v>46601</v>
      </c>
      <c r="T136" s="3" t="s">
        <v>46</v>
      </c>
      <c r="U136" s="3" t="s">
        <v>72</v>
      </c>
    </row>
    <row r="137" spans="5:21" x14ac:dyDescent="0.35">
      <c r="E137" s="2" t="s">
        <v>797</v>
      </c>
      <c r="F137" s="2">
        <v>2702309441</v>
      </c>
      <c r="G137" s="2" t="s">
        <v>798</v>
      </c>
      <c r="H137" s="2" t="s">
        <v>799</v>
      </c>
      <c r="I137" s="2" t="s">
        <v>800</v>
      </c>
      <c r="J137" s="2" t="s">
        <v>61</v>
      </c>
      <c r="K137" s="26" t="s">
        <v>62</v>
      </c>
      <c r="L137" s="26" t="s">
        <v>8</v>
      </c>
      <c r="M137" s="2" t="s">
        <v>801</v>
      </c>
      <c r="N137" s="2" t="s">
        <v>40</v>
      </c>
      <c r="O137" s="3" t="s">
        <v>64</v>
      </c>
      <c r="P137" s="3" t="s">
        <v>65</v>
      </c>
      <c r="Q137" s="3" t="s">
        <v>109</v>
      </c>
      <c r="R137" s="4">
        <v>46055</v>
      </c>
      <c r="S137" s="4">
        <v>46061</v>
      </c>
      <c r="T137" s="3" t="s">
        <v>66</v>
      </c>
      <c r="U137" s="3" t="s">
        <v>47</v>
      </c>
    </row>
    <row r="138" spans="5:21" x14ac:dyDescent="0.35">
      <c r="E138" s="7" t="s">
        <v>802</v>
      </c>
      <c r="F138" s="7">
        <v>2702262444</v>
      </c>
      <c r="G138" s="7" t="s">
        <v>803</v>
      </c>
      <c r="H138" s="7" t="s">
        <v>804</v>
      </c>
      <c r="I138" s="7" t="s">
        <v>805</v>
      </c>
      <c r="J138" s="7" t="s">
        <v>37</v>
      </c>
      <c r="K138" s="26" t="s">
        <v>173</v>
      </c>
      <c r="L138" s="26" t="s">
        <v>7</v>
      </c>
      <c r="M138" s="7" t="s">
        <v>801</v>
      </c>
      <c r="N138" s="7" t="s">
        <v>732</v>
      </c>
      <c r="O138" s="13" t="s">
        <v>806</v>
      </c>
      <c r="P138" s="13" t="s">
        <v>108</v>
      </c>
      <c r="Q138" s="13" t="s">
        <v>43</v>
      </c>
      <c r="R138" s="17">
        <v>46055</v>
      </c>
      <c r="S138" s="13" t="s">
        <v>240</v>
      </c>
      <c r="T138" s="13" t="s">
        <v>46</v>
      </c>
      <c r="U138" s="13" t="s">
        <v>47</v>
      </c>
    </row>
    <row r="139" spans="5:21" x14ac:dyDescent="0.35">
      <c r="E139" s="2" t="s">
        <v>807</v>
      </c>
      <c r="F139" s="2">
        <v>2702362024</v>
      </c>
      <c r="G139" s="2" t="s">
        <v>808</v>
      </c>
      <c r="H139" s="2" t="s">
        <v>809</v>
      </c>
      <c r="I139" s="2" t="s">
        <v>810</v>
      </c>
      <c r="J139" s="2" t="s">
        <v>257</v>
      </c>
      <c r="K139" s="26" t="s">
        <v>432</v>
      </c>
      <c r="L139" s="26" t="s">
        <v>1</v>
      </c>
      <c r="M139" s="2" t="s">
        <v>811</v>
      </c>
      <c r="N139" s="2" t="s">
        <v>40</v>
      </c>
      <c r="O139" s="12" t="s">
        <v>260</v>
      </c>
      <c r="P139" s="12" t="s">
        <v>260</v>
      </c>
      <c r="Q139" s="12" t="s">
        <v>260</v>
      </c>
      <c r="R139" s="12" t="s">
        <v>260</v>
      </c>
      <c r="S139" s="12" t="s">
        <v>260</v>
      </c>
      <c r="T139" s="12" t="s">
        <v>260</v>
      </c>
      <c r="U139" s="12" t="s">
        <v>72</v>
      </c>
    </row>
    <row r="140" spans="5:21" x14ac:dyDescent="0.35">
      <c r="E140" s="2" t="s">
        <v>812</v>
      </c>
      <c r="F140" s="2">
        <v>2702227984</v>
      </c>
      <c r="G140" s="2" t="s">
        <v>813</v>
      </c>
      <c r="H140" s="2" t="s">
        <v>814</v>
      </c>
      <c r="I140" s="2" t="s">
        <v>815</v>
      </c>
      <c r="J140" s="2" t="s">
        <v>61</v>
      </c>
      <c r="K140" s="26" t="s">
        <v>62</v>
      </c>
      <c r="L140" s="26" t="s">
        <v>8</v>
      </c>
      <c r="M140" s="2" t="s">
        <v>811</v>
      </c>
      <c r="N140" s="2" t="s">
        <v>54</v>
      </c>
      <c r="O140" s="19" t="s">
        <v>64</v>
      </c>
      <c r="P140" s="19" t="s">
        <v>65</v>
      </c>
      <c r="Q140" s="19" t="s">
        <v>43</v>
      </c>
      <c r="R140" s="20">
        <v>46055</v>
      </c>
      <c r="S140" s="20">
        <v>46420</v>
      </c>
      <c r="T140" s="19" t="s">
        <v>66</v>
      </c>
      <c r="U140" s="19" t="s">
        <v>47</v>
      </c>
    </row>
    <row r="141" spans="5:21" x14ac:dyDescent="0.35">
      <c r="E141" s="7" t="s">
        <v>816</v>
      </c>
      <c r="F141" s="7">
        <v>2702275604</v>
      </c>
      <c r="G141" s="7" t="s">
        <v>817</v>
      </c>
      <c r="H141" s="7" t="s">
        <v>818</v>
      </c>
      <c r="I141" s="7" t="s">
        <v>819</v>
      </c>
      <c r="J141" s="7" t="s">
        <v>257</v>
      </c>
      <c r="K141" s="26" t="s">
        <v>105</v>
      </c>
      <c r="L141" s="26" t="s">
        <v>4</v>
      </c>
      <c r="M141" s="7" t="s">
        <v>820</v>
      </c>
      <c r="N141" s="7" t="s">
        <v>54</v>
      </c>
      <c r="O141" s="11" t="s">
        <v>260</v>
      </c>
      <c r="P141" s="11" t="s">
        <v>260</v>
      </c>
      <c r="Q141" s="11" t="s">
        <v>260</v>
      </c>
      <c r="R141" s="11" t="s">
        <v>260</v>
      </c>
      <c r="S141" s="11" t="s">
        <v>260</v>
      </c>
      <c r="T141" s="11" t="s">
        <v>260</v>
      </c>
      <c r="U141" s="11" t="s">
        <v>72</v>
      </c>
    </row>
    <row r="142" spans="5:21" x14ac:dyDescent="0.35">
      <c r="E142" s="7" t="s">
        <v>821</v>
      </c>
      <c r="F142" s="7">
        <v>2702262431</v>
      </c>
      <c r="G142" s="7" t="s">
        <v>822</v>
      </c>
      <c r="H142" s="7" t="s">
        <v>823</v>
      </c>
      <c r="I142" s="7" t="s">
        <v>824</v>
      </c>
      <c r="J142" s="7" t="s">
        <v>257</v>
      </c>
      <c r="K142" s="26" t="s">
        <v>432</v>
      </c>
      <c r="L142" s="26" t="s">
        <v>1</v>
      </c>
      <c r="M142" s="7" t="s">
        <v>825</v>
      </c>
      <c r="N142" s="7" t="s">
        <v>406</v>
      </c>
      <c r="O142" s="11" t="s">
        <v>260</v>
      </c>
      <c r="P142" s="11" t="s">
        <v>260</v>
      </c>
      <c r="Q142" s="11" t="s">
        <v>260</v>
      </c>
      <c r="R142" s="11" t="s">
        <v>260</v>
      </c>
      <c r="S142" s="11" t="s">
        <v>260</v>
      </c>
      <c r="T142" s="11" t="s">
        <v>260</v>
      </c>
      <c r="U142" s="11" t="s">
        <v>72</v>
      </c>
    </row>
    <row r="143" spans="5:21" x14ac:dyDescent="0.35">
      <c r="E143" s="7" t="s">
        <v>826</v>
      </c>
      <c r="F143" s="7">
        <v>2702224175</v>
      </c>
      <c r="G143" s="7" t="s">
        <v>827</v>
      </c>
      <c r="H143" s="7" t="s">
        <v>828</v>
      </c>
      <c r="I143" s="7" t="s">
        <v>829</v>
      </c>
      <c r="J143" s="7" t="s">
        <v>257</v>
      </c>
      <c r="K143" s="26" t="s">
        <v>297</v>
      </c>
      <c r="L143" s="26" t="s">
        <v>3</v>
      </c>
      <c r="M143" s="7" t="s">
        <v>825</v>
      </c>
      <c r="N143" s="7" t="s">
        <v>406</v>
      </c>
      <c r="O143" s="11" t="s">
        <v>260</v>
      </c>
      <c r="P143" s="11" t="s">
        <v>260</v>
      </c>
      <c r="Q143" s="11" t="s">
        <v>260</v>
      </c>
      <c r="R143" s="11" t="s">
        <v>260</v>
      </c>
      <c r="S143" s="11" t="s">
        <v>260</v>
      </c>
      <c r="T143" s="11" t="s">
        <v>260</v>
      </c>
      <c r="U143" s="11" t="s">
        <v>72</v>
      </c>
    </row>
    <row r="144" spans="5:21" x14ac:dyDescent="0.35">
      <c r="E144" s="7" t="s">
        <v>830</v>
      </c>
      <c r="F144" s="7">
        <v>2702275371</v>
      </c>
      <c r="G144" s="7" t="s">
        <v>831</v>
      </c>
      <c r="H144" s="7" t="s">
        <v>832</v>
      </c>
      <c r="I144" s="7" t="s">
        <v>833</v>
      </c>
      <c r="J144" s="7" t="s">
        <v>411</v>
      </c>
      <c r="K144" s="24"/>
      <c r="L144" s="24"/>
      <c r="M144" s="7" t="s">
        <v>825</v>
      </c>
      <c r="N144" s="7" t="s">
        <v>54</v>
      </c>
      <c r="O144" s="11" t="s">
        <v>834</v>
      </c>
      <c r="P144" s="11" t="s">
        <v>414</v>
      </c>
      <c r="Q144" s="11" t="s">
        <v>260</v>
      </c>
      <c r="R144" s="11" t="s">
        <v>415</v>
      </c>
      <c r="S144" s="11" t="s">
        <v>416</v>
      </c>
      <c r="T144" s="11" t="s">
        <v>260</v>
      </c>
      <c r="U144" s="11" t="s">
        <v>72</v>
      </c>
    </row>
    <row r="145" spans="5:21" x14ac:dyDescent="0.35">
      <c r="E145" s="2" t="s">
        <v>835</v>
      </c>
      <c r="F145" s="2">
        <v>2702272281</v>
      </c>
      <c r="G145" s="2" t="s">
        <v>836</v>
      </c>
      <c r="H145" s="2" t="s">
        <v>837</v>
      </c>
      <c r="I145" s="2" t="s">
        <v>838</v>
      </c>
      <c r="J145" s="2" t="s">
        <v>37</v>
      </c>
      <c r="K145" s="26" t="s">
        <v>270</v>
      </c>
      <c r="L145" s="26" t="s">
        <v>5</v>
      </c>
      <c r="M145" s="2" t="s">
        <v>839</v>
      </c>
      <c r="N145" s="2" t="s">
        <v>40</v>
      </c>
      <c r="O145" s="19" t="s">
        <v>840</v>
      </c>
      <c r="P145" s="19" t="s">
        <v>121</v>
      </c>
      <c r="Q145" s="19" t="s">
        <v>43</v>
      </c>
      <c r="R145" s="20">
        <v>46055</v>
      </c>
      <c r="S145" s="19" t="s">
        <v>45</v>
      </c>
      <c r="T145" s="19" t="s">
        <v>46</v>
      </c>
      <c r="U145" s="19" t="s">
        <v>47</v>
      </c>
    </row>
    <row r="146" spans="5:21" x14ac:dyDescent="0.35">
      <c r="E146" s="7" t="s">
        <v>841</v>
      </c>
      <c r="F146" s="7">
        <v>2702320305</v>
      </c>
      <c r="G146" s="7" t="s">
        <v>842</v>
      </c>
      <c r="H146" s="7" t="s">
        <v>843</v>
      </c>
      <c r="I146" s="7" t="s">
        <v>844</v>
      </c>
      <c r="J146" s="7" t="s">
        <v>61</v>
      </c>
      <c r="K146" s="26" t="s">
        <v>62</v>
      </c>
      <c r="L146" s="26" t="s">
        <v>8</v>
      </c>
      <c r="M146" s="7" t="s">
        <v>839</v>
      </c>
      <c r="N146" s="7" t="s">
        <v>40</v>
      </c>
      <c r="O146" s="14" t="s">
        <v>64</v>
      </c>
      <c r="P146" s="14" t="s">
        <v>65</v>
      </c>
      <c r="Q146" s="14" t="s">
        <v>109</v>
      </c>
      <c r="R146" s="15">
        <v>46055</v>
      </c>
      <c r="S146" s="15">
        <v>46061</v>
      </c>
      <c r="T146" s="14" t="s">
        <v>66</v>
      </c>
      <c r="U146" s="14" t="s">
        <v>47</v>
      </c>
    </row>
    <row r="147" spans="5:21" x14ac:dyDescent="0.35">
      <c r="E147" s="7" t="s">
        <v>845</v>
      </c>
      <c r="F147" s="7">
        <v>2702239725</v>
      </c>
      <c r="G147" s="7" t="s">
        <v>846</v>
      </c>
      <c r="H147" s="7" t="s">
        <v>847</v>
      </c>
      <c r="I147" s="7" t="s">
        <v>848</v>
      </c>
      <c r="J147" s="7" t="s">
        <v>37</v>
      </c>
      <c r="K147" s="26" t="s">
        <v>270</v>
      </c>
      <c r="L147" s="26" t="s">
        <v>5</v>
      </c>
      <c r="M147" s="7" t="s">
        <v>839</v>
      </c>
      <c r="N147" s="7" t="s">
        <v>40</v>
      </c>
      <c r="O147" s="13" t="s">
        <v>849</v>
      </c>
      <c r="P147" s="13" t="s">
        <v>326</v>
      </c>
      <c r="Q147" s="13" t="s">
        <v>43</v>
      </c>
      <c r="R147" s="17">
        <v>46055</v>
      </c>
      <c r="S147" s="17">
        <v>46420</v>
      </c>
      <c r="T147" s="13" t="s">
        <v>46</v>
      </c>
      <c r="U147" s="13" t="s">
        <v>47</v>
      </c>
    </row>
    <row r="148" spans="5:21" x14ac:dyDescent="0.35">
      <c r="E148" s="7" t="s">
        <v>850</v>
      </c>
      <c r="F148" s="7">
        <v>2702345011</v>
      </c>
      <c r="G148" s="7" t="s">
        <v>851</v>
      </c>
      <c r="H148" s="7" t="s">
        <v>852</v>
      </c>
      <c r="I148" s="7" t="s">
        <v>853</v>
      </c>
      <c r="J148" s="7" t="s">
        <v>257</v>
      </c>
      <c r="K148" s="26" t="s">
        <v>258</v>
      </c>
      <c r="L148" s="26" t="s">
        <v>10</v>
      </c>
      <c r="M148" s="7" t="s">
        <v>854</v>
      </c>
      <c r="N148" s="7" t="s">
        <v>855</v>
      </c>
      <c r="O148" s="7" t="s">
        <v>260</v>
      </c>
      <c r="P148" s="7" t="s">
        <v>260</v>
      </c>
      <c r="Q148" s="7" t="s">
        <v>260</v>
      </c>
      <c r="R148" s="7" t="s">
        <v>260</v>
      </c>
      <c r="S148" s="7" t="s">
        <v>260</v>
      </c>
      <c r="T148" s="7" t="s">
        <v>260</v>
      </c>
      <c r="U148" s="7" t="s">
        <v>72</v>
      </c>
    </row>
    <row r="149" spans="5:21" x14ac:dyDescent="0.35">
      <c r="E149" s="2" t="s">
        <v>856</v>
      </c>
      <c r="F149" s="2">
        <v>2702231893</v>
      </c>
      <c r="G149" s="2" t="s">
        <v>857</v>
      </c>
      <c r="H149" s="2" t="s">
        <v>858</v>
      </c>
      <c r="I149" s="2" t="s">
        <v>859</v>
      </c>
      <c r="J149" s="2" t="s">
        <v>37</v>
      </c>
      <c r="K149" s="24" t="s">
        <v>214</v>
      </c>
      <c r="L149" s="23" t="s">
        <v>0</v>
      </c>
      <c r="M149" s="2" t="s">
        <v>860</v>
      </c>
      <c r="N149" s="2" t="s">
        <v>54</v>
      </c>
      <c r="O149" s="3" t="s">
        <v>107</v>
      </c>
      <c r="P149" s="3" t="s">
        <v>108</v>
      </c>
      <c r="Q149" s="3" t="s">
        <v>109</v>
      </c>
      <c r="R149" s="4">
        <v>46055</v>
      </c>
      <c r="S149" s="3" t="s">
        <v>110</v>
      </c>
      <c r="T149" s="3" t="s">
        <v>46</v>
      </c>
      <c r="U149" s="3" t="s">
        <v>72</v>
      </c>
    </row>
    <row r="150" spans="5:21" x14ac:dyDescent="0.35">
      <c r="E150" s="7" t="s">
        <v>861</v>
      </c>
      <c r="F150" s="7">
        <v>2702228021</v>
      </c>
      <c r="G150" s="7" t="s">
        <v>862</v>
      </c>
      <c r="H150" s="7" t="s">
        <v>863</v>
      </c>
      <c r="I150" s="7" t="s">
        <v>864</v>
      </c>
      <c r="J150" s="7" t="s">
        <v>257</v>
      </c>
      <c r="K150" s="26" t="s">
        <v>258</v>
      </c>
      <c r="L150" s="26" t="s">
        <v>10</v>
      </c>
      <c r="M150" s="7" t="s">
        <v>865</v>
      </c>
      <c r="N150" s="7" t="s">
        <v>54</v>
      </c>
      <c r="O150" s="7" t="s">
        <v>260</v>
      </c>
      <c r="P150" s="7" t="s">
        <v>260</v>
      </c>
      <c r="Q150" s="7" t="s">
        <v>260</v>
      </c>
      <c r="R150" s="7" t="s">
        <v>260</v>
      </c>
      <c r="S150" s="7" t="s">
        <v>260</v>
      </c>
      <c r="T150" s="7" t="s">
        <v>260</v>
      </c>
      <c r="U150" s="7" t="s">
        <v>72</v>
      </c>
    </row>
    <row r="151" spans="5:21" x14ac:dyDescent="0.35">
      <c r="E151" s="7" t="s">
        <v>866</v>
      </c>
      <c r="F151" s="7">
        <v>2702271915</v>
      </c>
      <c r="G151" s="7" t="s">
        <v>867</v>
      </c>
      <c r="H151" s="7" t="s">
        <v>868</v>
      </c>
      <c r="I151" s="7" t="s">
        <v>869</v>
      </c>
      <c r="J151" s="7" t="s">
        <v>37</v>
      </c>
      <c r="K151" s="26" t="s">
        <v>132</v>
      </c>
      <c r="L151" s="26" t="s">
        <v>9</v>
      </c>
      <c r="M151" s="7" t="s">
        <v>865</v>
      </c>
      <c r="N151" s="7" t="s">
        <v>732</v>
      </c>
      <c r="O151" s="9" t="s">
        <v>133</v>
      </c>
      <c r="P151" s="9" t="s">
        <v>134</v>
      </c>
      <c r="Q151" s="9" t="s">
        <v>43</v>
      </c>
      <c r="R151" s="10">
        <v>46055</v>
      </c>
      <c r="S151" s="9" t="s">
        <v>45</v>
      </c>
      <c r="T151" s="9" t="s">
        <v>46</v>
      </c>
      <c r="U151" s="9" t="s">
        <v>72</v>
      </c>
    </row>
    <row r="152" spans="5:21" x14ac:dyDescent="0.35">
      <c r="E152" s="2" t="s">
        <v>870</v>
      </c>
      <c r="F152" s="2">
        <v>2702262620</v>
      </c>
      <c r="G152" s="2" t="s">
        <v>871</v>
      </c>
      <c r="H152" s="2" t="s">
        <v>872</v>
      </c>
      <c r="I152" s="2" t="s">
        <v>873</v>
      </c>
      <c r="J152" s="2" t="s">
        <v>874</v>
      </c>
      <c r="K152" s="26" t="s">
        <v>158</v>
      </c>
      <c r="L152" s="26" t="s">
        <v>11</v>
      </c>
      <c r="M152" s="2" t="s">
        <v>875</v>
      </c>
      <c r="N152" s="2" t="s">
        <v>40</v>
      </c>
      <c r="O152" s="19" t="s">
        <v>876</v>
      </c>
      <c r="P152" s="19" t="s">
        <v>326</v>
      </c>
      <c r="Q152" s="19" t="s">
        <v>109</v>
      </c>
      <c r="R152" s="20">
        <v>46055</v>
      </c>
      <c r="S152" s="20">
        <v>46061</v>
      </c>
      <c r="T152" s="19" t="s">
        <v>877</v>
      </c>
      <c r="U152" s="19" t="s">
        <v>72</v>
      </c>
    </row>
    <row r="153" spans="5:21" x14ac:dyDescent="0.35">
      <c r="E153" s="7" t="s">
        <v>878</v>
      </c>
      <c r="F153" s="7">
        <v>2702379473</v>
      </c>
      <c r="G153" s="7" t="s">
        <v>879</v>
      </c>
      <c r="H153" s="7" t="s">
        <v>880</v>
      </c>
      <c r="I153" s="7" t="s">
        <v>881</v>
      </c>
      <c r="J153" s="7" t="s">
        <v>257</v>
      </c>
      <c r="K153" s="26" t="s">
        <v>432</v>
      </c>
      <c r="L153" s="26" t="s">
        <v>1</v>
      </c>
      <c r="M153" s="7" t="s">
        <v>882</v>
      </c>
      <c r="N153" s="7" t="s">
        <v>54</v>
      </c>
      <c r="O153" s="11" t="s">
        <v>260</v>
      </c>
      <c r="P153" s="11" t="s">
        <v>260</v>
      </c>
      <c r="Q153" s="11" t="s">
        <v>260</v>
      </c>
      <c r="R153" s="11" t="s">
        <v>260</v>
      </c>
      <c r="S153" s="11" t="s">
        <v>260</v>
      </c>
      <c r="T153" s="11" t="s">
        <v>260</v>
      </c>
      <c r="U153" s="11" t="s">
        <v>72</v>
      </c>
    </row>
    <row r="154" spans="5:21" x14ac:dyDescent="0.35">
      <c r="E154" s="7" t="s">
        <v>883</v>
      </c>
      <c r="F154" s="7">
        <v>2702283171</v>
      </c>
      <c r="G154" s="7" t="s">
        <v>884</v>
      </c>
      <c r="H154" s="7" t="s">
        <v>885</v>
      </c>
      <c r="I154" s="7" t="s">
        <v>886</v>
      </c>
      <c r="J154" s="7" t="s">
        <v>257</v>
      </c>
      <c r="K154" s="26" t="s">
        <v>105</v>
      </c>
      <c r="L154" s="26" t="s">
        <v>4</v>
      </c>
      <c r="M154" s="7" t="s">
        <v>882</v>
      </c>
      <c r="N154" s="7" t="s">
        <v>887</v>
      </c>
      <c r="O154" s="7" t="s">
        <v>260</v>
      </c>
      <c r="P154" s="7" t="s">
        <v>260</v>
      </c>
      <c r="Q154" s="7" t="s">
        <v>260</v>
      </c>
      <c r="R154" s="7" t="s">
        <v>260</v>
      </c>
      <c r="S154" s="7" t="s">
        <v>260</v>
      </c>
      <c r="T154" s="7" t="s">
        <v>260</v>
      </c>
      <c r="U154" s="7" t="s">
        <v>72</v>
      </c>
    </row>
    <row r="155" spans="5:21" x14ac:dyDescent="0.35">
      <c r="E155" s="2" t="s">
        <v>888</v>
      </c>
      <c r="F155" s="2">
        <v>2702262816</v>
      </c>
      <c r="G155" s="2" t="s">
        <v>889</v>
      </c>
      <c r="H155" s="2" t="s">
        <v>890</v>
      </c>
      <c r="I155" s="2" t="s">
        <v>891</v>
      </c>
      <c r="J155" s="2" t="s">
        <v>37</v>
      </c>
      <c r="K155" s="26" t="s">
        <v>158</v>
      </c>
      <c r="L155" s="26" t="s">
        <v>11</v>
      </c>
      <c r="M155" s="2" t="s">
        <v>892</v>
      </c>
      <c r="N155" s="2" t="s">
        <v>54</v>
      </c>
      <c r="O155" s="3" t="s">
        <v>107</v>
      </c>
      <c r="P155" s="3" t="s">
        <v>108</v>
      </c>
      <c r="Q155" s="3" t="s">
        <v>109</v>
      </c>
      <c r="R155" s="4">
        <v>46055</v>
      </c>
      <c r="S155" s="3" t="s">
        <v>110</v>
      </c>
      <c r="T155" s="3" t="s">
        <v>46</v>
      </c>
      <c r="U155" s="3" t="s">
        <v>72</v>
      </c>
    </row>
    <row r="156" spans="5:21" x14ac:dyDescent="0.35">
      <c r="E156" s="2" t="s">
        <v>893</v>
      </c>
      <c r="F156" s="2">
        <v>2502006133</v>
      </c>
      <c r="G156" s="2" t="s">
        <v>894</v>
      </c>
      <c r="H156" s="2" t="s">
        <v>895</v>
      </c>
      <c r="I156" s="2" t="s">
        <v>896</v>
      </c>
      <c r="J156" s="2" t="s">
        <v>37</v>
      </c>
      <c r="K156" s="26" t="s">
        <v>52</v>
      </c>
      <c r="L156" s="26" t="s">
        <v>2</v>
      </c>
      <c r="M156" s="2" t="s">
        <v>897</v>
      </c>
      <c r="N156" s="2" t="s">
        <v>898</v>
      </c>
      <c r="O156" s="3" t="s">
        <v>107</v>
      </c>
      <c r="P156" s="3" t="s">
        <v>108</v>
      </c>
      <c r="Q156" s="3" t="s">
        <v>109</v>
      </c>
      <c r="R156" s="4">
        <v>46055</v>
      </c>
      <c r="S156" s="3" t="s">
        <v>110</v>
      </c>
      <c r="T156" s="3" t="s">
        <v>46</v>
      </c>
      <c r="U156" s="3" t="s">
        <v>47</v>
      </c>
    </row>
    <row r="157" spans="5:21" x14ac:dyDescent="0.35">
      <c r="E157" s="7" t="s">
        <v>899</v>
      </c>
      <c r="F157" s="7">
        <v>2602207483</v>
      </c>
      <c r="G157" s="7" t="s">
        <v>900</v>
      </c>
      <c r="H157" s="7" t="s">
        <v>901</v>
      </c>
      <c r="I157" s="7" t="s">
        <v>902</v>
      </c>
      <c r="J157" s="7" t="s">
        <v>37</v>
      </c>
      <c r="K157" s="24" t="s">
        <v>214</v>
      </c>
      <c r="L157" s="23" t="s">
        <v>0</v>
      </c>
      <c r="M157" s="7" t="s">
        <v>903</v>
      </c>
      <c r="N157" s="7" t="s">
        <v>904</v>
      </c>
      <c r="O157" s="13" t="s">
        <v>107</v>
      </c>
      <c r="P157" s="13" t="s">
        <v>108</v>
      </c>
      <c r="Q157" s="13" t="s">
        <v>109</v>
      </c>
      <c r="R157" s="17">
        <v>46055</v>
      </c>
      <c r="S157" s="13" t="s">
        <v>110</v>
      </c>
      <c r="T157" s="13" t="s">
        <v>46</v>
      </c>
      <c r="U157" s="13" t="s">
        <v>72</v>
      </c>
    </row>
    <row r="158" spans="5:21" x14ac:dyDescent="0.35">
      <c r="E158" s="7" t="s">
        <v>905</v>
      </c>
      <c r="F158" s="7">
        <v>2702280301</v>
      </c>
      <c r="G158" s="7" t="s">
        <v>906</v>
      </c>
      <c r="H158" s="7" t="s">
        <v>907</v>
      </c>
      <c r="I158" s="7" t="s">
        <v>908</v>
      </c>
      <c r="J158" s="7" t="s">
        <v>257</v>
      </c>
      <c r="K158" s="26" t="s">
        <v>432</v>
      </c>
      <c r="L158" s="26" t="s">
        <v>1</v>
      </c>
      <c r="M158" s="7" t="s">
        <v>909</v>
      </c>
      <c r="N158" s="7" t="s">
        <v>406</v>
      </c>
      <c r="O158" s="7" t="s">
        <v>260</v>
      </c>
      <c r="P158" s="7" t="s">
        <v>260</v>
      </c>
      <c r="Q158" s="7" t="s">
        <v>260</v>
      </c>
      <c r="R158" s="7" t="s">
        <v>260</v>
      </c>
      <c r="S158" s="7" t="s">
        <v>260</v>
      </c>
      <c r="T158" s="7" t="s">
        <v>260</v>
      </c>
      <c r="U158" s="8" t="s">
        <v>72</v>
      </c>
    </row>
    <row r="159" spans="5:21" x14ac:dyDescent="0.35">
      <c r="E159" s="7" t="s">
        <v>910</v>
      </c>
      <c r="F159" s="7">
        <v>2702249272</v>
      </c>
      <c r="G159" s="7" t="s">
        <v>911</v>
      </c>
      <c r="H159" s="7" t="s">
        <v>912</v>
      </c>
      <c r="I159" s="7" t="s">
        <v>913</v>
      </c>
      <c r="J159" s="7" t="s">
        <v>37</v>
      </c>
      <c r="K159" s="26" t="s">
        <v>77</v>
      </c>
      <c r="L159" s="26" t="s">
        <v>13</v>
      </c>
      <c r="M159" s="7" t="s">
        <v>914</v>
      </c>
      <c r="N159" s="7" t="s">
        <v>915</v>
      </c>
      <c r="O159" s="13" t="s">
        <v>107</v>
      </c>
      <c r="P159" s="13" t="s">
        <v>108</v>
      </c>
      <c r="Q159" s="13" t="s">
        <v>109</v>
      </c>
      <c r="R159" s="17">
        <v>46055</v>
      </c>
      <c r="S159" s="13" t="s">
        <v>110</v>
      </c>
      <c r="T159" s="13" t="s">
        <v>46</v>
      </c>
      <c r="U159" s="13" t="s">
        <v>72</v>
      </c>
    </row>
    <row r="160" spans="5:21" x14ac:dyDescent="0.35">
      <c r="E160" s="7" t="s">
        <v>916</v>
      </c>
      <c r="F160" s="7">
        <v>2702282370</v>
      </c>
      <c r="G160" s="7" t="s">
        <v>917</v>
      </c>
      <c r="H160" s="7" t="s">
        <v>918</v>
      </c>
      <c r="I160" s="7" t="s">
        <v>919</v>
      </c>
      <c r="J160" s="7" t="s">
        <v>61</v>
      </c>
      <c r="K160" s="26" t="s">
        <v>62</v>
      </c>
      <c r="L160" s="26" t="s">
        <v>8</v>
      </c>
      <c r="M160" s="7" t="s">
        <v>920</v>
      </c>
      <c r="N160" s="7" t="s">
        <v>40</v>
      </c>
      <c r="O160" s="13" t="s">
        <v>64</v>
      </c>
      <c r="P160" s="13" t="s">
        <v>65</v>
      </c>
      <c r="Q160" s="13" t="s">
        <v>109</v>
      </c>
      <c r="R160" s="17">
        <v>46055</v>
      </c>
      <c r="S160" s="17">
        <v>46061</v>
      </c>
      <c r="T160" s="13" t="s">
        <v>66</v>
      </c>
      <c r="U160" s="13" t="s">
        <v>47</v>
      </c>
    </row>
    <row r="161" spans="5:21" x14ac:dyDescent="0.35">
      <c r="E161" s="2" t="s">
        <v>921</v>
      </c>
      <c r="F161" s="2">
        <v>2702362030</v>
      </c>
      <c r="G161" s="2" t="s">
        <v>922</v>
      </c>
      <c r="H161" s="2" t="s">
        <v>923</v>
      </c>
      <c r="I161" s="2" t="s">
        <v>924</v>
      </c>
      <c r="J161" s="2" t="s">
        <v>37</v>
      </c>
      <c r="K161" s="26" t="s">
        <v>158</v>
      </c>
      <c r="L161" s="26" t="s">
        <v>11</v>
      </c>
      <c r="M161" s="2" t="s">
        <v>925</v>
      </c>
      <c r="N161" s="2" t="s">
        <v>732</v>
      </c>
      <c r="O161" s="19" t="s">
        <v>107</v>
      </c>
      <c r="P161" s="19" t="s">
        <v>108</v>
      </c>
      <c r="Q161" s="19" t="s">
        <v>109</v>
      </c>
      <c r="R161" s="20">
        <v>46055</v>
      </c>
      <c r="S161" s="19" t="s">
        <v>110</v>
      </c>
      <c r="T161" s="19" t="s">
        <v>46</v>
      </c>
      <c r="U161" s="19" t="s">
        <v>72</v>
      </c>
    </row>
    <row r="162" spans="5:21" x14ac:dyDescent="0.35">
      <c r="E162" s="7" t="s">
        <v>926</v>
      </c>
      <c r="F162" s="7">
        <v>2702309353</v>
      </c>
      <c r="G162" s="7" t="s">
        <v>927</v>
      </c>
      <c r="H162" s="7" t="s">
        <v>928</v>
      </c>
      <c r="I162" s="7" t="s">
        <v>929</v>
      </c>
      <c r="J162" s="7" t="s">
        <v>37</v>
      </c>
      <c r="K162" s="26" t="s">
        <v>105</v>
      </c>
      <c r="L162" s="26" t="s">
        <v>4</v>
      </c>
      <c r="M162" s="7" t="s">
        <v>930</v>
      </c>
      <c r="N162" s="7" t="s">
        <v>931</v>
      </c>
      <c r="O162" s="8" t="s">
        <v>932</v>
      </c>
      <c r="P162" s="8" t="s">
        <v>384</v>
      </c>
      <c r="Q162" s="8" t="s">
        <v>43</v>
      </c>
      <c r="R162" s="16">
        <v>46055</v>
      </c>
      <c r="S162" s="8" t="s">
        <v>45</v>
      </c>
      <c r="T162" s="8" t="s">
        <v>83</v>
      </c>
      <c r="U162" s="8" t="s">
        <v>47</v>
      </c>
    </row>
    <row r="163" spans="5:21" x14ac:dyDescent="0.35">
      <c r="E163" s="2" t="s">
        <v>933</v>
      </c>
      <c r="F163" s="2">
        <v>2702337350</v>
      </c>
      <c r="G163" s="2" t="s">
        <v>934</v>
      </c>
      <c r="H163" s="2" t="s">
        <v>935</v>
      </c>
      <c r="I163" s="2" t="s">
        <v>936</v>
      </c>
      <c r="J163" s="2" t="s">
        <v>37</v>
      </c>
      <c r="K163" s="26" t="s">
        <v>105</v>
      </c>
      <c r="L163" s="26" t="s">
        <v>4</v>
      </c>
      <c r="M163" s="2" t="s">
        <v>937</v>
      </c>
      <c r="N163" s="2" t="s">
        <v>931</v>
      </c>
      <c r="O163" s="19" t="s">
        <v>107</v>
      </c>
      <c r="P163" s="19" t="s">
        <v>108</v>
      </c>
      <c r="Q163" s="19" t="s">
        <v>109</v>
      </c>
      <c r="R163" s="20">
        <v>46055</v>
      </c>
      <c r="S163" s="19" t="s">
        <v>110</v>
      </c>
      <c r="T163" s="19" t="s">
        <v>46</v>
      </c>
      <c r="U163" s="19" t="s">
        <v>72</v>
      </c>
    </row>
    <row r="164" spans="5:21" x14ac:dyDescent="0.35">
      <c r="E164" s="7" t="s">
        <v>938</v>
      </c>
      <c r="F164" s="7">
        <v>2702358140</v>
      </c>
      <c r="G164" s="7" t="s">
        <v>939</v>
      </c>
      <c r="H164" s="7" t="s">
        <v>940</v>
      </c>
      <c r="I164" s="7" t="s">
        <v>941</v>
      </c>
      <c r="J164" s="7" t="s">
        <v>37</v>
      </c>
      <c r="K164" s="26" t="s">
        <v>150</v>
      </c>
      <c r="L164" s="26" t="s">
        <v>6</v>
      </c>
      <c r="M164" s="7" t="s">
        <v>942</v>
      </c>
      <c r="N164" s="7" t="s">
        <v>406</v>
      </c>
      <c r="O164" s="13" t="s">
        <v>943</v>
      </c>
      <c r="P164" s="13" t="s">
        <v>944</v>
      </c>
      <c r="Q164" s="13" t="s">
        <v>109</v>
      </c>
      <c r="R164" s="17">
        <v>46267</v>
      </c>
      <c r="S164" s="13" t="s">
        <v>110</v>
      </c>
      <c r="T164" s="13" t="s">
        <v>46</v>
      </c>
      <c r="U164" s="13" t="s">
        <v>47</v>
      </c>
    </row>
    <row r="165" spans="5:21" x14ac:dyDescent="0.35">
      <c r="E165" s="2" t="s">
        <v>945</v>
      </c>
      <c r="F165" s="2">
        <v>2702267281</v>
      </c>
      <c r="G165" s="2" t="s">
        <v>946</v>
      </c>
      <c r="H165" s="2" t="s">
        <v>947</v>
      </c>
      <c r="I165" s="2" t="s">
        <v>948</v>
      </c>
      <c r="J165" s="2" t="s">
        <v>37</v>
      </c>
      <c r="K165" s="26" t="s">
        <v>150</v>
      </c>
      <c r="L165" s="26" t="s">
        <v>6</v>
      </c>
      <c r="M165" s="2" t="s">
        <v>949</v>
      </c>
      <c r="N165" s="2" t="s">
        <v>406</v>
      </c>
      <c r="O165" s="19" t="s">
        <v>950</v>
      </c>
      <c r="P165" s="19" t="s">
        <v>326</v>
      </c>
      <c r="Q165" s="19" t="s">
        <v>43</v>
      </c>
      <c r="R165" s="20">
        <v>46055</v>
      </c>
      <c r="S165" s="19" t="s">
        <v>45</v>
      </c>
      <c r="T165" s="19" t="s">
        <v>46</v>
      </c>
      <c r="U165" s="19" t="s">
        <v>47</v>
      </c>
    </row>
    <row r="166" spans="5:21" x14ac:dyDescent="0.35">
      <c r="E166" s="2" t="s">
        <v>951</v>
      </c>
      <c r="F166" s="2">
        <v>2702321365</v>
      </c>
      <c r="G166" s="2" t="s">
        <v>952</v>
      </c>
      <c r="H166" s="2" t="s">
        <v>953</v>
      </c>
      <c r="I166" s="2" t="s">
        <v>954</v>
      </c>
      <c r="J166" s="2" t="s">
        <v>37</v>
      </c>
      <c r="K166" s="26" t="s">
        <v>270</v>
      </c>
      <c r="L166" s="26" t="s">
        <v>5</v>
      </c>
      <c r="M166" s="2" t="s">
        <v>955</v>
      </c>
      <c r="N166" s="2" t="s">
        <v>732</v>
      </c>
      <c r="O166" s="19" t="s">
        <v>107</v>
      </c>
      <c r="P166" s="19" t="s">
        <v>108</v>
      </c>
      <c r="Q166" s="19" t="s">
        <v>109</v>
      </c>
      <c r="R166" s="20">
        <v>46055</v>
      </c>
      <c r="S166" s="19" t="s">
        <v>110</v>
      </c>
      <c r="T166" s="19" t="s">
        <v>46</v>
      </c>
      <c r="U166" s="19" t="s">
        <v>47</v>
      </c>
    </row>
    <row r="167" spans="5:21" x14ac:dyDescent="0.35">
      <c r="E167" s="2" t="s">
        <v>956</v>
      </c>
      <c r="F167" s="2">
        <v>2702301205</v>
      </c>
      <c r="G167" s="2" t="s">
        <v>957</v>
      </c>
      <c r="H167" s="2" t="s">
        <v>958</v>
      </c>
      <c r="I167" s="2" t="s">
        <v>959</v>
      </c>
      <c r="J167" s="2" t="s">
        <v>257</v>
      </c>
      <c r="K167" s="26" t="s">
        <v>432</v>
      </c>
      <c r="L167" s="26" t="s">
        <v>1</v>
      </c>
      <c r="M167" s="2" t="s">
        <v>960</v>
      </c>
      <c r="N167" s="2" t="s">
        <v>887</v>
      </c>
      <c r="O167" s="2" t="s">
        <v>260</v>
      </c>
      <c r="P167" s="2" t="s">
        <v>260</v>
      </c>
      <c r="Q167" s="2" t="s">
        <v>260</v>
      </c>
      <c r="R167" s="2" t="s">
        <v>260</v>
      </c>
      <c r="S167" s="2" t="s">
        <v>260</v>
      </c>
      <c r="T167" s="2" t="s">
        <v>260</v>
      </c>
      <c r="U167" s="2" t="s">
        <v>72</v>
      </c>
    </row>
    <row r="168" spans="5:21" x14ac:dyDescent="0.35">
      <c r="E168" s="7" t="s">
        <v>961</v>
      </c>
      <c r="F168" s="7">
        <v>2702227971</v>
      </c>
      <c r="G168" s="7" t="s">
        <v>962</v>
      </c>
      <c r="H168" s="7" t="s">
        <v>963</v>
      </c>
      <c r="I168" s="7" t="s">
        <v>964</v>
      </c>
      <c r="J168" s="7" t="s">
        <v>37</v>
      </c>
      <c r="K168" s="26" t="s">
        <v>270</v>
      </c>
      <c r="L168" s="26" t="s">
        <v>5</v>
      </c>
      <c r="M168" s="7" t="s">
        <v>965</v>
      </c>
      <c r="N168" s="7" t="s">
        <v>966</v>
      </c>
      <c r="O168" s="13" t="s">
        <v>967</v>
      </c>
      <c r="P168" s="13" t="s">
        <v>222</v>
      </c>
      <c r="Q168" s="13" t="s">
        <v>43</v>
      </c>
      <c r="R168" s="17">
        <v>46055</v>
      </c>
      <c r="S168" s="13" t="s">
        <v>45</v>
      </c>
      <c r="T168" s="13" t="s">
        <v>83</v>
      </c>
      <c r="U168" s="13" t="s">
        <v>47</v>
      </c>
    </row>
    <row r="169" spans="5:21" x14ac:dyDescent="0.35">
      <c r="E169" s="2" t="s">
        <v>968</v>
      </c>
      <c r="F169" s="2">
        <v>2702277042</v>
      </c>
      <c r="G169" s="2" t="s">
        <v>969</v>
      </c>
      <c r="H169" s="2" t="s">
        <v>970</v>
      </c>
      <c r="I169" s="2" t="s">
        <v>971</v>
      </c>
      <c r="J169" s="2" t="s">
        <v>257</v>
      </c>
      <c r="K169" s="26" t="s">
        <v>105</v>
      </c>
      <c r="L169" s="26" t="s">
        <v>4</v>
      </c>
      <c r="M169" s="2" t="s">
        <v>972</v>
      </c>
      <c r="N169" s="2" t="s">
        <v>904</v>
      </c>
      <c r="O169" s="2" t="s">
        <v>260</v>
      </c>
      <c r="P169" s="2" t="s">
        <v>260</v>
      </c>
      <c r="Q169" s="2" t="s">
        <v>260</v>
      </c>
      <c r="R169" s="2" t="s">
        <v>260</v>
      </c>
      <c r="S169" s="2" t="s">
        <v>260</v>
      </c>
      <c r="T169" s="2" t="s">
        <v>260</v>
      </c>
      <c r="U169" s="2" t="s">
        <v>72</v>
      </c>
    </row>
    <row r="170" spans="5:21" x14ac:dyDescent="0.35">
      <c r="E170" s="2" t="s">
        <v>973</v>
      </c>
      <c r="F170" s="2">
        <v>2702228904</v>
      </c>
      <c r="G170" s="2" t="s">
        <v>974</v>
      </c>
      <c r="H170" s="2" t="s">
        <v>975</v>
      </c>
      <c r="I170" s="2" t="s">
        <v>976</v>
      </c>
      <c r="J170" s="2" t="s">
        <v>977</v>
      </c>
      <c r="K170" s="26" t="s">
        <v>173</v>
      </c>
      <c r="L170" s="26" t="s">
        <v>7</v>
      </c>
      <c r="M170" s="2" t="s">
        <v>978</v>
      </c>
      <c r="N170" s="2" t="s">
        <v>406</v>
      </c>
      <c r="O170" s="12" t="s">
        <v>979</v>
      </c>
      <c r="P170" s="12" t="s">
        <v>980</v>
      </c>
      <c r="Q170" s="12" t="s">
        <v>260</v>
      </c>
      <c r="R170" s="12" t="s">
        <v>260</v>
      </c>
      <c r="S170" s="12" t="s">
        <v>260</v>
      </c>
      <c r="T170" s="12" t="s">
        <v>260</v>
      </c>
      <c r="U170" s="12" t="s">
        <v>72</v>
      </c>
    </row>
    <row r="171" spans="5:21" x14ac:dyDescent="0.35">
      <c r="E171" s="8" t="s">
        <v>981</v>
      </c>
      <c r="F171" s="8">
        <v>2602071940</v>
      </c>
      <c r="G171" s="8" t="s">
        <v>982</v>
      </c>
      <c r="H171" s="8" t="s">
        <v>983</v>
      </c>
      <c r="I171" s="8">
        <v>6285101687780</v>
      </c>
      <c r="J171" s="8" t="s">
        <v>984</v>
      </c>
      <c r="K171" s="26" t="s">
        <v>105</v>
      </c>
      <c r="L171" s="26" t="s">
        <v>4</v>
      </c>
      <c r="M171" s="8">
        <v>3.61</v>
      </c>
      <c r="N171" s="8">
        <v>100</v>
      </c>
      <c r="O171" s="18" t="s">
        <v>260</v>
      </c>
      <c r="P171" s="18" t="s">
        <v>260</v>
      </c>
      <c r="Q171" s="18" t="s">
        <v>260</v>
      </c>
      <c r="R171" s="18" t="s">
        <v>260</v>
      </c>
      <c r="S171" s="18" t="s">
        <v>260</v>
      </c>
      <c r="T171" s="18" t="s">
        <v>260</v>
      </c>
      <c r="U171" s="13" t="s">
        <v>72</v>
      </c>
    </row>
    <row r="172" spans="5:21" x14ac:dyDescent="0.35">
      <c r="E172" s="6" t="s">
        <v>985</v>
      </c>
      <c r="F172" s="6">
        <v>2501976485</v>
      </c>
      <c r="G172" s="6" t="s">
        <v>986</v>
      </c>
      <c r="H172" s="34" t="s">
        <v>987</v>
      </c>
      <c r="I172" s="6">
        <v>6285974330005</v>
      </c>
      <c r="J172" s="6" t="s">
        <v>988</v>
      </c>
      <c r="K172" s="30" t="s">
        <v>214</v>
      </c>
      <c r="L172" s="30" t="s">
        <v>0</v>
      </c>
      <c r="M172" s="6">
        <v>2.92</v>
      </c>
      <c r="N172" s="6">
        <v>90</v>
      </c>
      <c r="O172" s="5" t="s">
        <v>260</v>
      </c>
      <c r="P172" s="5" t="s">
        <v>260</v>
      </c>
      <c r="Q172" s="5" t="s">
        <v>260</v>
      </c>
      <c r="R172" s="5" t="s">
        <v>260</v>
      </c>
      <c r="S172" s="5" t="s">
        <v>260</v>
      </c>
      <c r="T172" s="5" t="s">
        <v>260</v>
      </c>
      <c r="U172" s="3" t="s">
        <v>72</v>
      </c>
    </row>
  </sheetData>
  <conditionalFormatting sqref="F112">
    <cfRule type="duplicateValues" dxfId="3" priority="1"/>
  </conditionalFormatting>
  <conditionalFormatting sqref="G1:G172">
    <cfRule type="duplicateValues" dxfId="2" priority="4"/>
  </conditionalFormatting>
  <conditionalFormatting sqref="G2:G39">
    <cfRule type="duplicateValues" dxfId="1" priority="3"/>
  </conditionalFormatting>
  <conditionalFormatting sqref="G113:G172 G40:G111">
    <cfRule type="duplicateValues" dxfId="0" priority="2"/>
  </conditionalFormatting>
  <hyperlinks>
    <hyperlink ref="H172" r:id="rId1" xr:uid="{3E37EAB2-174F-4687-B07E-64CD867884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B2FE90C3899049B87332B819F0E104" ma:contentTypeVersion="19" ma:contentTypeDescription="Create a new document." ma:contentTypeScope="" ma:versionID="0bbcf2540c923e9bbfcfb121b6ea4176">
  <xsd:schema xmlns:xsd="http://www.w3.org/2001/XMLSchema" xmlns:xs="http://www.w3.org/2001/XMLSchema" xmlns:p="http://schemas.microsoft.com/office/2006/metadata/properties" xmlns:ns3="63c9e906-c10f-463c-a18a-c5cff61dcdb1" xmlns:ns4="631e4e48-79bc-4df9-aaf2-93bff7f444fb" targetNamespace="http://schemas.microsoft.com/office/2006/metadata/properties" ma:root="true" ma:fieldsID="a32794ddf73aab19398ee72a39f698d8" ns3:_="" ns4:_="">
    <xsd:import namespace="63c9e906-c10f-463c-a18a-c5cff61dcdb1"/>
    <xsd:import namespace="631e4e48-79bc-4df9-aaf2-93bff7f444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9e906-c10f-463c-a18a-c5cff61dc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e4e48-79bc-4df9-aaf2-93bff7f44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c9e906-c10f-463c-a18a-c5cff61dcdb1" xsi:nil="true"/>
  </documentManagement>
</p:properties>
</file>

<file path=customXml/itemProps1.xml><?xml version="1.0" encoding="utf-8"?>
<ds:datastoreItem xmlns:ds="http://schemas.openxmlformats.org/officeDocument/2006/customXml" ds:itemID="{25AD68A2-69E4-4A0E-8F67-6C9C379B9F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7FB429-AF53-45B3-8509-5BAFFE03DE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c9e906-c10f-463c-a18a-c5cff61dcdb1"/>
    <ds:schemaRef ds:uri="631e4e48-79bc-4df9-aaf2-93bff7f44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E68482-0C2A-425C-9377-6F9595F059ED}">
  <ds:schemaRefs>
    <ds:schemaRef ds:uri="http://schemas.microsoft.com/office/2006/documentManagement/types"/>
    <ds:schemaRef ds:uri="http://purl.org/dc/elements/1.1/"/>
    <ds:schemaRef ds:uri="http://purl.org/dc/terms/"/>
    <ds:schemaRef ds:uri="631e4e48-79bc-4df9-aaf2-93bff7f444f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3c9e906-c10f-463c-a18a-c5cff61dcdb1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Sheet2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BUDI JUARTO</dc:creator>
  <cp:keywords/>
  <dc:description/>
  <cp:lastModifiedBy>BUDI JUARTO</cp:lastModifiedBy>
  <cp:revision/>
  <dcterms:created xsi:type="dcterms:W3CDTF">2026-02-02T02:41:08Z</dcterms:created>
  <dcterms:modified xsi:type="dcterms:W3CDTF">2026-03-05T06:49:38Z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0x010100BBB2FE90C3899049B87332B819F0E104</vt:lpwstr>
  </property>
</Properties>
</file>